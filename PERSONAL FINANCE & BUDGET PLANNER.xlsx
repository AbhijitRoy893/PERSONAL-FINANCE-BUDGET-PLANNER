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istrator\Desktop\Anudip Course\Final Project\"/>
    </mc:Choice>
  </mc:AlternateContent>
  <bookViews>
    <workbookView xWindow="-120" yWindow="-120" windowWidth="24240" windowHeight="13020"/>
  </bookViews>
  <sheets>
    <sheet name="Welcome Page" sheetId="26" r:id="rId1"/>
    <sheet name="Raw Data" sheetId="16" r:id="rId2"/>
    <sheet name="Cleaning Tasks" sheetId="17" r:id="rId3"/>
    <sheet name="Cleaned Data" sheetId="18" r:id="rId4"/>
    <sheet name="Income Sheet" sheetId="10" r:id="rId5"/>
    <sheet name="Income Pivot Table" sheetId="21" r:id="rId6"/>
    <sheet name="Expense Sheet" sheetId="11" r:id="rId7"/>
    <sheet name="Expense Pivot Table" sheetId="22" r:id="rId8"/>
    <sheet name="Budget Sheet" sheetId="20" r:id="rId9"/>
    <sheet name="Budget Pivot Table" sheetId="23" r:id="rId10"/>
    <sheet name="Dashboard" sheetId="24" r:id="rId11"/>
    <sheet name="Pivot Tables" sheetId="25" r:id="rId12"/>
  </sheets>
  <definedNames>
    <definedName name="_xlnm._FilterDatabase" localSheetId="5" hidden="1">'Income Pivot Table'!$A$3:$B$16</definedName>
    <definedName name="_xlcn.WorksheetConnection_BudgetSheetD3F131" hidden="1">'Budget Sheet'!$D$3:$F$13</definedName>
    <definedName name="_xlcn.WorksheetConnection_ExpenseSheetA2E1001" hidden="1">'Expense Sheet'!$A$2:$E$100</definedName>
    <definedName name="_xlcn.WorksheetConnection_IncomeSheetA2F1001" hidden="1">'Income Sheet'!$A$2:$F$100</definedName>
    <definedName name="ExternalData_1" localSheetId="2" hidden="1">'Cleaning Tasks'!$A$2:$T$100</definedName>
    <definedName name="ExternalData_1" localSheetId="1" hidden="1">'Raw Data'!$A$2:$O$100</definedName>
    <definedName name="Slicer_Category">#N/A</definedName>
    <definedName name="Slicer_Income_Source">#N/A</definedName>
    <definedName name="Slicer_Month">#N/A</definedName>
    <definedName name="Slicer_Payment_Method">#N/A</definedName>
    <definedName name="Slicer_Payment_Method1">#N/A</definedName>
  </definedNames>
  <calcPr calcId="162913"/>
  <pivotCaches>
    <pivotCache cacheId="0" r:id="rId13"/>
    <pivotCache cacheId="1" r:id="rId14"/>
    <pivotCache cacheId="2" r:id="rId15"/>
    <pivotCache cacheId="3" r:id="rId16"/>
    <pivotCache cacheId="4" r:id="rId17"/>
    <pivotCache cacheId="5" r:id="rId18"/>
  </pivotCaches>
  <extLst>
    <ext xmlns:x14="http://schemas.microsoft.com/office/spreadsheetml/2009/9/main" uri="{876F7934-8845-4945-9796-88D515C7AA90}">
      <x14:pivotCaches>
        <pivotCache cacheId="6"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Income Sheet!$A$2:$F$100"/>
          <x15:modelTable id="Range1" name="Range1" connection="WorksheetConnection_Expense Sheet!$A$2:$E$100"/>
          <x15:modelTable id="Range2" name="Range2" connection="WorksheetConnection_Budget Sheet!$D$3:$F$13"/>
        </x15:modelTables>
      </x15:dataModel>
    </ext>
  </extLst>
</workbook>
</file>

<file path=xl/calcChain.xml><?xml version="1.0" encoding="utf-8"?>
<calcChain xmlns="http://schemas.openxmlformats.org/spreadsheetml/2006/main">
  <c r="G8" i="17" l="1"/>
  <c r="H5" i="20" l="1"/>
  <c r="H6" i="20"/>
  <c r="H7" i="20"/>
  <c r="H8" i="20"/>
  <c r="H9" i="20"/>
  <c r="H10" i="20"/>
  <c r="H11" i="20"/>
  <c r="H12" i="20"/>
  <c r="H13" i="20"/>
  <c r="H4" i="20"/>
  <c r="F5" i="20"/>
  <c r="F6" i="20"/>
  <c r="F7" i="20"/>
  <c r="F8" i="20"/>
  <c r="F9" i="20"/>
  <c r="F10" i="20"/>
  <c r="F11" i="20"/>
  <c r="F12" i="20"/>
  <c r="F13" i="20"/>
  <c r="F4" i="20"/>
  <c r="E5" i="20"/>
  <c r="G5" i="20" s="1"/>
  <c r="E6" i="20"/>
  <c r="G6" i="20" s="1"/>
  <c r="E7" i="20"/>
  <c r="G7" i="20" s="1"/>
  <c r="E8" i="20"/>
  <c r="G8" i="20" s="1"/>
  <c r="E9" i="20"/>
  <c r="G9" i="20" s="1"/>
  <c r="E10" i="20"/>
  <c r="G10" i="20" s="1"/>
  <c r="E11" i="20"/>
  <c r="G11" i="20" s="1"/>
  <c r="E12" i="20"/>
  <c r="G12" i="20" s="1"/>
  <c r="E13" i="20"/>
  <c r="G13" i="20" s="1"/>
  <c r="E4" i="20"/>
  <c r="G4" i="20" s="1"/>
  <c r="T3" i="17"/>
  <c r="T4" i="17"/>
  <c r="T5" i="17"/>
  <c r="T6" i="17"/>
  <c r="T7" i="17"/>
  <c r="T8" i="17"/>
  <c r="T9" i="17"/>
  <c r="T10" i="17"/>
  <c r="T11" i="17"/>
  <c r="T12" i="17"/>
  <c r="T13" i="17"/>
  <c r="T14" i="17"/>
  <c r="T15" i="17"/>
  <c r="T16" i="17"/>
  <c r="T17" i="17"/>
  <c r="T18" i="17"/>
  <c r="T19" i="17"/>
  <c r="T20" i="17"/>
  <c r="T21" i="17"/>
  <c r="T22" i="17"/>
  <c r="T23" i="17"/>
  <c r="T24" i="17"/>
  <c r="T25" i="17"/>
  <c r="T26" i="17"/>
  <c r="T27" i="17"/>
  <c r="T28" i="17"/>
  <c r="T29" i="17"/>
  <c r="T30" i="17"/>
  <c r="T31" i="17"/>
  <c r="T32" i="17"/>
  <c r="T33" i="17"/>
  <c r="T34" i="17"/>
  <c r="T35" i="17"/>
  <c r="T36" i="17"/>
  <c r="T37" i="17"/>
  <c r="T38" i="17"/>
  <c r="T39" i="17"/>
  <c r="T40" i="17"/>
  <c r="T41" i="17"/>
  <c r="T42" i="17"/>
  <c r="T43" i="17"/>
  <c r="T44" i="17"/>
  <c r="T45" i="17"/>
  <c r="T46" i="17"/>
  <c r="T47" i="17"/>
  <c r="T48" i="17"/>
  <c r="T49" i="17"/>
  <c r="T50" i="17"/>
  <c r="T51" i="17"/>
  <c r="T52" i="17"/>
  <c r="T53" i="17"/>
  <c r="T54" i="17"/>
  <c r="T55" i="17"/>
  <c r="T56" i="17"/>
  <c r="T57" i="17"/>
  <c r="T58" i="17"/>
  <c r="T59" i="17"/>
  <c r="T60" i="17"/>
  <c r="T61" i="17"/>
  <c r="T62" i="17"/>
  <c r="T63" i="17"/>
  <c r="T64" i="17"/>
  <c r="T65" i="17"/>
  <c r="T66" i="17"/>
  <c r="T67" i="17"/>
  <c r="T68" i="17"/>
  <c r="T69" i="17"/>
  <c r="T70" i="17"/>
  <c r="T71" i="17"/>
  <c r="T72" i="17"/>
  <c r="T73" i="17"/>
  <c r="T74" i="17"/>
  <c r="T75" i="17"/>
  <c r="T76" i="17"/>
  <c r="T77" i="17"/>
  <c r="T78" i="17"/>
  <c r="T79" i="17"/>
  <c r="T80" i="17"/>
  <c r="T81" i="17"/>
  <c r="T82" i="17"/>
  <c r="T83" i="17"/>
  <c r="T84" i="17"/>
  <c r="T85" i="17"/>
  <c r="T86" i="17"/>
  <c r="T87" i="17"/>
  <c r="T88" i="17"/>
  <c r="T89" i="17"/>
  <c r="T90" i="17"/>
  <c r="T91" i="17"/>
  <c r="T92" i="17"/>
  <c r="T93" i="17"/>
  <c r="T94" i="17"/>
  <c r="T95" i="17"/>
  <c r="T96" i="17"/>
  <c r="T97" i="17"/>
  <c r="T98" i="17"/>
  <c r="T99" i="17"/>
  <c r="T100" i="17"/>
  <c r="K11" i="11"/>
  <c r="K4" i="11"/>
  <c r="H11" i="11"/>
  <c r="H12" i="11"/>
  <c r="H13" i="11"/>
  <c r="H14" i="11"/>
  <c r="H15" i="11"/>
  <c r="H16" i="11"/>
  <c r="H17" i="11"/>
  <c r="H18" i="11"/>
  <c r="H19" i="11"/>
  <c r="H20" i="11"/>
  <c r="H21" i="11"/>
  <c r="H10" i="11"/>
  <c r="H5" i="11"/>
  <c r="H6" i="11"/>
  <c r="H7" i="11"/>
  <c r="H4" i="11"/>
  <c r="C100" i="11"/>
  <c r="C99" i="11"/>
  <c r="C98" i="11"/>
  <c r="C97" i="11"/>
  <c r="C96" i="11"/>
  <c r="C95" i="11"/>
  <c r="C94" i="11"/>
  <c r="C93" i="11"/>
  <c r="C92" i="11"/>
  <c r="C91" i="11"/>
  <c r="C90" i="11"/>
  <c r="C89" i="11"/>
  <c r="C88" i="11"/>
  <c r="C87" i="11"/>
  <c r="C86" i="11"/>
  <c r="C85" i="11"/>
  <c r="C84" i="11"/>
  <c r="C83" i="11"/>
  <c r="C82" i="11"/>
  <c r="C81" i="11"/>
  <c r="C80" i="11"/>
  <c r="C79" i="11"/>
  <c r="C78" i="11"/>
  <c r="C77" i="11"/>
  <c r="C76" i="11"/>
  <c r="C75" i="11"/>
  <c r="C74" i="11"/>
  <c r="C73" i="11"/>
  <c r="C72" i="11"/>
  <c r="C71" i="11"/>
  <c r="C70" i="11"/>
  <c r="C69" i="11"/>
  <c r="C68" i="11"/>
  <c r="C67" i="11"/>
  <c r="C66" i="11"/>
  <c r="C65" i="11"/>
  <c r="C64"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C13" i="11"/>
  <c r="C12" i="11"/>
  <c r="C11" i="11"/>
  <c r="C10" i="11"/>
  <c r="C9" i="11"/>
  <c r="C8" i="11"/>
  <c r="C7" i="11"/>
  <c r="C6" i="11"/>
  <c r="C5" i="11"/>
  <c r="C4" i="11"/>
  <c r="C3" i="11"/>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C4" i="10"/>
  <c r="C3" i="10"/>
  <c r="M100" i="18"/>
  <c r="M99" i="18"/>
  <c r="M98" i="18"/>
  <c r="M97" i="18"/>
  <c r="M96" i="18"/>
  <c r="M95" i="18"/>
  <c r="M94" i="18"/>
  <c r="M93" i="18"/>
  <c r="M92" i="18"/>
  <c r="M91" i="18"/>
  <c r="M90" i="18"/>
  <c r="M89" i="18"/>
  <c r="M88" i="18"/>
  <c r="M87" i="18"/>
  <c r="M86" i="18"/>
  <c r="M85" i="18"/>
  <c r="M84" i="18"/>
  <c r="M83" i="18"/>
  <c r="M82" i="18"/>
  <c r="M81" i="18"/>
  <c r="M80" i="18"/>
  <c r="M79" i="18"/>
  <c r="M78" i="18"/>
  <c r="M77" i="18"/>
  <c r="M76" i="18"/>
  <c r="M75" i="18"/>
  <c r="M74" i="18"/>
  <c r="M73" i="18"/>
  <c r="M72" i="18"/>
  <c r="M71" i="18"/>
  <c r="M70" i="18"/>
  <c r="M69" i="18"/>
  <c r="M68" i="18"/>
  <c r="M67" i="18"/>
  <c r="M66" i="18"/>
  <c r="M65" i="18"/>
  <c r="M64" i="18"/>
  <c r="M63" i="18"/>
  <c r="M62" i="18"/>
  <c r="M61" i="18"/>
  <c r="M60" i="18"/>
  <c r="M59" i="18"/>
  <c r="M58" i="18"/>
  <c r="M57" i="18"/>
  <c r="M56" i="18"/>
  <c r="M55" i="18"/>
  <c r="M54" i="18"/>
  <c r="M53" i="18"/>
  <c r="M52" i="18"/>
  <c r="M51" i="18"/>
  <c r="M50" i="18"/>
  <c r="M49" i="18"/>
  <c r="M48" i="18"/>
  <c r="M47" i="18"/>
  <c r="M46" i="18"/>
  <c r="M45" i="18"/>
  <c r="M44" i="18"/>
  <c r="M43" i="18"/>
  <c r="M42" i="18"/>
  <c r="M41" i="18"/>
  <c r="M40" i="18"/>
  <c r="M39" i="18"/>
  <c r="M38" i="18"/>
  <c r="M37" i="18"/>
  <c r="M36" i="18"/>
  <c r="M35" i="18"/>
  <c r="M34" i="18"/>
  <c r="M33" i="18"/>
  <c r="M32" i="18"/>
  <c r="M31" i="18"/>
  <c r="M30" i="18"/>
  <c r="M29" i="18"/>
  <c r="M28" i="18"/>
  <c r="M27" i="18"/>
  <c r="M26" i="18"/>
  <c r="M25" i="18"/>
  <c r="M24" i="18"/>
  <c r="M23" i="18"/>
  <c r="M22" i="18"/>
  <c r="M21" i="18"/>
  <c r="M20" i="18"/>
  <c r="M19" i="18"/>
  <c r="M18" i="18"/>
  <c r="M17" i="18"/>
  <c r="M16" i="18"/>
  <c r="M15" i="18"/>
  <c r="M14" i="18"/>
  <c r="M13" i="18"/>
  <c r="M12" i="18"/>
  <c r="M11" i="18"/>
  <c r="M10" i="18"/>
  <c r="M9" i="18"/>
  <c r="M8" i="18"/>
  <c r="M7" i="18"/>
  <c r="M6" i="18"/>
  <c r="M5" i="18"/>
  <c r="M4" i="18"/>
  <c r="M3" i="18"/>
  <c r="I100" i="18"/>
  <c r="I99" i="18"/>
  <c r="I98" i="18"/>
  <c r="I97" i="18"/>
  <c r="I96" i="18"/>
  <c r="I95" i="18"/>
  <c r="I94" i="18"/>
  <c r="I93" i="18"/>
  <c r="I92" i="18"/>
  <c r="I91" i="18"/>
  <c r="I90" i="18"/>
  <c r="I89" i="18"/>
  <c r="I88" i="18"/>
  <c r="I87" i="18"/>
  <c r="I86" i="18"/>
  <c r="I85" i="18"/>
  <c r="I84" i="18"/>
  <c r="I83" i="18"/>
  <c r="I82" i="18"/>
  <c r="I81" i="18"/>
  <c r="I80" i="18"/>
  <c r="I79" i="18"/>
  <c r="I78" i="18"/>
  <c r="I77" i="18"/>
  <c r="I76" i="18"/>
  <c r="I75" i="18"/>
  <c r="I74" i="18"/>
  <c r="I73" i="18"/>
  <c r="I72" i="18"/>
  <c r="I71" i="18"/>
  <c r="I70" i="18"/>
  <c r="I69" i="18"/>
  <c r="I68" i="18"/>
  <c r="I67" i="18"/>
  <c r="I66" i="18"/>
  <c r="I65" i="18"/>
  <c r="I64" i="18"/>
  <c r="I63" i="18"/>
  <c r="I62" i="18"/>
  <c r="I61" i="18"/>
  <c r="I60" i="18"/>
  <c r="I59" i="18"/>
  <c r="I58" i="18"/>
  <c r="I57" i="18"/>
  <c r="I56" i="18"/>
  <c r="I55" i="18"/>
  <c r="I54" i="18"/>
  <c r="I53" i="18"/>
  <c r="I52" i="18"/>
  <c r="I51" i="18"/>
  <c r="I50" i="18"/>
  <c r="I49" i="18"/>
  <c r="I48" i="18"/>
  <c r="I47" i="18"/>
  <c r="I46" i="18"/>
  <c r="I45" i="18"/>
  <c r="I44" i="18"/>
  <c r="I43" i="18"/>
  <c r="I42" i="18"/>
  <c r="I41" i="18"/>
  <c r="I40" i="18"/>
  <c r="I39" i="18"/>
  <c r="I38" i="18"/>
  <c r="I37" i="18"/>
  <c r="I36" i="18"/>
  <c r="I35" i="18"/>
  <c r="I34" i="18"/>
  <c r="I33" i="18"/>
  <c r="I32" i="18"/>
  <c r="I31" i="18"/>
  <c r="I30" i="18"/>
  <c r="I29" i="18"/>
  <c r="I28" i="18"/>
  <c r="I27" i="18"/>
  <c r="I26" i="18"/>
  <c r="I25" i="18"/>
  <c r="I24" i="18"/>
  <c r="I23" i="18"/>
  <c r="I22" i="18"/>
  <c r="I21" i="18"/>
  <c r="I20" i="18"/>
  <c r="I19" i="18"/>
  <c r="I18" i="18"/>
  <c r="I17" i="18"/>
  <c r="I16" i="18"/>
  <c r="I15" i="18"/>
  <c r="I14" i="18"/>
  <c r="I13" i="18"/>
  <c r="I12" i="18"/>
  <c r="I11" i="18"/>
  <c r="I10" i="18"/>
  <c r="I9" i="18"/>
  <c r="I8" i="18"/>
  <c r="I7" i="18"/>
  <c r="I6" i="18"/>
  <c r="I5" i="18"/>
  <c r="I4" i="18"/>
  <c r="I3"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2" i="18"/>
  <c r="G11" i="18"/>
  <c r="G10" i="18"/>
  <c r="G9" i="18"/>
  <c r="G8" i="18"/>
  <c r="G7" i="18"/>
  <c r="G6" i="18"/>
  <c r="G5" i="18"/>
  <c r="G4" i="18"/>
  <c r="G3" i="18"/>
  <c r="F100" i="18"/>
  <c r="F99" i="18"/>
  <c r="F98" i="18"/>
  <c r="F97" i="18"/>
  <c r="F96" i="18"/>
  <c r="F95" i="18"/>
  <c r="F94" i="18"/>
  <c r="F93" i="18"/>
  <c r="F92" i="18"/>
  <c r="F91" i="18"/>
  <c r="F90" i="18"/>
  <c r="F89" i="18"/>
  <c r="F88" i="18"/>
  <c r="F87" i="18"/>
  <c r="F86" i="18"/>
  <c r="F85" i="18"/>
  <c r="F84" i="18"/>
  <c r="F83" i="18"/>
  <c r="F82" i="18"/>
  <c r="F81" i="18"/>
  <c r="F80" i="18"/>
  <c r="F79" i="18"/>
  <c r="F78" i="18"/>
  <c r="F77" i="18"/>
  <c r="F76" i="18"/>
  <c r="F75" i="18"/>
  <c r="F74" i="18"/>
  <c r="F73" i="18"/>
  <c r="F72" i="18"/>
  <c r="F71" i="18"/>
  <c r="F70" i="18"/>
  <c r="F69" i="18"/>
  <c r="F68" i="18"/>
  <c r="F67" i="18"/>
  <c r="F66" i="18"/>
  <c r="F65" i="18"/>
  <c r="F64" i="18"/>
  <c r="F63" i="18"/>
  <c r="F62" i="18"/>
  <c r="F61" i="18"/>
  <c r="F60" i="18"/>
  <c r="F59" i="18"/>
  <c r="F58" i="18"/>
  <c r="F57" i="18"/>
  <c r="F56" i="18"/>
  <c r="F55" i="18"/>
  <c r="F54" i="18"/>
  <c r="F53" i="18"/>
  <c r="F52" i="18"/>
  <c r="F51" i="18"/>
  <c r="F50" i="18"/>
  <c r="F49" i="18"/>
  <c r="F48" i="18"/>
  <c r="F47" i="18"/>
  <c r="F46" i="18"/>
  <c r="F45" i="18"/>
  <c r="F44" i="18"/>
  <c r="F43" i="18"/>
  <c r="F42" i="18"/>
  <c r="F41" i="18"/>
  <c r="F40" i="18"/>
  <c r="F39" i="18"/>
  <c r="F38" i="18"/>
  <c r="F37" i="18"/>
  <c r="F36" i="18"/>
  <c r="F35" i="18"/>
  <c r="F34" i="18"/>
  <c r="F33" i="18"/>
  <c r="F32" i="18"/>
  <c r="F31" i="18"/>
  <c r="F30" i="18"/>
  <c r="F29" i="18"/>
  <c r="F28" i="18"/>
  <c r="F27" i="18"/>
  <c r="F26" i="18"/>
  <c r="F25" i="18"/>
  <c r="F24" i="18"/>
  <c r="F23" i="18"/>
  <c r="F22" i="18"/>
  <c r="F21" i="18"/>
  <c r="F20" i="18"/>
  <c r="F19" i="18"/>
  <c r="F18" i="18"/>
  <c r="F17" i="18"/>
  <c r="F16" i="18"/>
  <c r="F15" i="18"/>
  <c r="F14" i="18"/>
  <c r="F13" i="18"/>
  <c r="F12" i="18"/>
  <c r="F11" i="18"/>
  <c r="F10" i="18"/>
  <c r="F9" i="18"/>
  <c r="F8" i="18"/>
  <c r="F7" i="18"/>
  <c r="F6" i="18"/>
  <c r="F5" i="18"/>
  <c r="F4" i="18"/>
  <c r="F3" i="18"/>
  <c r="S100" i="17"/>
  <c r="R100" i="17"/>
  <c r="Q100" i="17"/>
  <c r="P100" i="17"/>
  <c r="S99" i="17"/>
  <c r="R99" i="17"/>
  <c r="Q99" i="17"/>
  <c r="P99" i="17"/>
  <c r="S98" i="17"/>
  <c r="R98" i="17"/>
  <c r="Q98" i="17"/>
  <c r="P98" i="17"/>
  <c r="S97" i="17"/>
  <c r="R97" i="17"/>
  <c r="Q97" i="17"/>
  <c r="P97" i="17"/>
  <c r="S96" i="17"/>
  <c r="R96" i="17"/>
  <c r="Q96" i="17"/>
  <c r="P96" i="17"/>
  <c r="S95" i="17"/>
  <c r="R95" i="17"/>
  <c r="Q95" i="17"/>
  <c r="P95" i="17"/>
  <c r="S94" i="17"/>
  <c r="R94" i="17"/>
  <c r="Q94" i="17"/>
  <c r="P94" i="17"/>
  <c r="S93" i="17"/>
  <c r="R93" i="17"/>
  <c r="Q93" i="17"/>
  <c r="P93" i="17"/>
  <c r="S92" i="17"/>
  <c r="R92" i="17"/>
  <c r="Q92" i="17"/>
  <c r="P92" i="17"/>
  <c r="S91" i="17"/>
  <c r="R91" i="17"/>
  <c r="Q91" i="17"/>
  <c r="P91" i="17"/>
  <c r="S90" i="17"/>
  <c r="R90" i="17"/>
  <c r="Q90" i="17"/>
  <c r="P90" i="17"/>
  <c r="S89" i="17"/>
  <c r="R89" i="17"/>
  <c r="Q89" i="17"/>
  <c r="P89" i="17"/>
  <c r="S88" i="17"/>
  <c r="R88" i="17"/>
  <c r="Q88" i="17"/>
  <c r="P88" i="17"/>
  <c r="S87" i="17"/>
  <c r="R87" i="17"/>
  <c r="Q87" i="17"/>
  <c r="P87" i="17"/>
  <c r="S86" i="17"/>
  <c r="R86" i="17"/>
  <c r="Q86" i="17"/>
  <c r="P86" i="17"/>
  <c r="S85" i="17"/>
  <c r="R85" i="17"/>
  <c r="Q85" i="17"/>
  <c r="P85" i="17"/>
  <c r="S84" i="17"/>
  <c r="R84" i="17"/>
  <c r="Q84" i="17"/>
  <c r="P84" i="17"/>
  <c r="S83" i="17"/>
  <c r="R83" i="17"/>
  <c r="Q83" i="17"/>
  <c r="P83" i="17"/>
  <c r="S82" i="17"/>
  <c r="R82" i="17"/>
  <c r="Q82" i="17"/>
  <c r="P82" i="17"/>
  <c r="S81" i="17"/>
  <c r="R81" i="17"/>
  <c r="Q81" i="17"/>
  <c r="P81" i="17"/>
  <c r="S80" i="17"/>
  <c r="R80" i="17"/>
  <c r="Q80" i="17"/>
  <c r="P80" i="17"/>
  <c r="S79" i="17"/>
  <c r="R79" i="17"/>
  <c r="Q79" i="17"/>
  <c r="P79" i="17"/>
  <c r="S78" i="17"/>
  <c r="R78" i="17"/>
  <c r="Q78" i="17"/>
  <c r="P78" i="17"/>
  <c r="S77" i="17"/>
  <c r="R77" i="17"/>
  <c r="Q77" i="17"/>
  <c r="P77" i="17"/>
  <c r="S76" i="17"/>
  <c r="R76" i="17"/>
  <c r="Q76" i="17"/>
  <c r="P76" i="17"/>
  <c r="S75" i="17"/>
  <c r="R75" i="17"/>
  <c r="Q75" i="17"/>
  <c r="P75" i="17"/>
  <c r="S74" i="17"/>
  <c r="R74" i="17"/>
  <c r="Q74" i="17"/>
  <c r="P74" i="17"/>
  <c r="S73" i="17"/>
  <c r="R73" i="17"/>
  <c r="Q73" i="17"/>
  <c r="P73" i="17"/>
  <c r="S72" i="17"/>
  <c r="R72" i="17"/>
  <c r="Q72" i="17"/>
  <c r="P72" i="17"/>
  <c r="S71" i="17"/>
  <c r="R71" i="17"/>
  <c r="Q71" i="17"/>
  <c r="P71" i="17"/>
  <c r="S70" i="17"/>
  <c r="R70" i="17"/>
  <c r="Q70" i="17"/>
  <c r="P70" i="17"/>
  <c r="S69" i="17"/>
  <c r="R69" i="17"/>
  <c r="Q69" i="17"/>
  <c r="P69" i="17"/>
  <c r="S68" i="17"/>
  <c r="R68" i="17"/>
  <c r="Q68" i="17"/>
  <c r="P68" i="17"/>
  <c r="S67" i="17"/>
  <c r="R67" i="17"/>
  <c r="Q67" i="17"/>
  <c r="P67" i="17"/>
  <c r="S66" i="17"/>
  <c r="R66" i="17"/>
  <c r="Q66" i="17"/>
  <c r="P66" i="17"/>
  <c r="S65" i="17"/>
  <c r="R65" i="17"/>
  <c r="Q65" i="17"/>
  <c r="P65" i="17"/>
  <c r="S64" i="17"/>
  <c r="R64" i="17"/>
  <c r="Q64" i="17"/>
  <c r="P64" i="17"/>
  <c r="S63" i="17"/>
  <c r="R63" i="17"/>
  <c r="Q63" i="17"/>
  <c r="P63" i="17"/>
  <c r="S62" i="17"/>
  <c r="R62" i="17"/>
  <c r="Q62" i="17"/>
  <c r="P62" i="17"/>
  <c r="S61" i="17"/>
  <c r="R61" i="17"/>
  <c r="Q61" i="17"/>
  <c r="P61" i="17"/>
  <c r="S60" i="17"/>
  <c r="R60" i="17"/>
  <c r="Q60" i="17"/>
  <c r="P60" i="17"/>
  <c r="S59" i="17"/>
  <c r="R59" i="17"/>
  <c r="Q59" i="17"/>
  <c r="P59" i="17"/>
  <c r="S58" i="17"/>
  <c r="R58" i="17"/>
  <c r="Q58" i="17"/>
  <c r="P58" i="17"/>
  <c r="S57" i="17"/>
  <c r="R57" i="17"/>
  <c r="Q57" i="17"/>
  <c r="P57" i="17"/>
  <c r="S56" i="17"/>
  <c r="R56" i="17"/>
  <c r="Q56" i="17"/>
  <c r="P56" i="17"/>
  <c r="S55" i="17"/>
  <c r="R55" i="17"/>
  <c r="Q55" i="17"/>
  <c r="P55" i="17"/>
  <c r="S54" i="17"/>
  <c r="R54" i="17"/>
  <c r="Q54" i="17"/>
  <c r="P54" i="17"/>
  <c r="S53" i="17"/>
  <c r="R53" i="17"/>
  <c r="Q53" i="17"/>
  <c r="P53" i="17"/>
  <c r="S52" i="17"/>
  <c r="R52" i="17"/>
  <c r="Q52" i="17"/>
  <c r="P52" i="17"/>
  <c r="S51" i="17"/>
  <c r="R51" i="17"/>
  <c r="Q51" i="17"/>
  <c r="P51" i="17"/>
  <c r="S50" i="17"/>
  <c r="R50" i="17"/>
  <c r="Q50" i="17"/>
  <c r="P50" i="17"/>
  <c r="S49" i="17"/>
  <c r="R49" i="17"/>
  <c r="Q49" i="17"/>
  <c r="P49" i="17"/>
  <c r="S48" i="17"/>
  <c r="R48" i="17"/>
  <c r="Q48" i="17"/>
  <c r="P48" i="17"/>
  <c r="S47" i="17"/>
  <c r="R47" i="17"/>
  <c r="Q47" i="17"/>
  <c r="P47" i="17"/>
  <c r="S46" i="17"/>
  <c r="R46" i="17"/>
  <c r="Q46" i="17"/>
  <c r="P46" i="17"/>
  <c r="S45" i="17"/>
  <c r="R45" i="17"/>
  <c r="Q45" i="17"/>
  <c r="P45" i="17"/>
  <c r="S44" i="17"/>
  <c r="R44" i="17"/>
  <c r="Q44" i="17"/>
  <c r="P44" i="17"/>
  <c r="S43" i="17"/>
  <c r="R43" i="17"/>
  <c r="Q43" i="17"/>
  <c r="P43" i="17"/>
  <c r="S42" i="17"/>
  <c r="R42" i="17"/>
  <c r="Q42" i="17"/>
  <c r="P42" i="17"/>
  <c r="S41" i="17"/>
  <c r="R41" i="17"/>
  <c r="Q41" i="17"/>
  <c r="P41" i="17"/>
  <c r="S40" i="17"/>
  <c r="R40" i="17"/>
  <c r="Q40" i="17"/>
  <c r="P40" i="17"/>
  <c r="S39" i="17"/>
  <c r="R39" i="17"/>
  <c r="Q39" i="17"/>
  <c r="P39" i="17"/>
  <c r="S38" i="17"/>
  <c r="R38" i="17"/>
  <c r="Q38" i="17"/>
  <c r="P38" i="17"/>
  <c r="S37" i="17"/>
  <c r="R37" i="17"/>
  <c r="Q37" i="17"/>
  <c r="P37" i="17"/>
  <c r="S36" i="17"/>
  <c r="R36" i="17"/>
  <c r="Q36" i="17"/>
  <c r="P36" i="17"/>
  <c r="S35" i="17"/>
  <c r="R35" i="17"/>
  <c r="Q35" i="17"/>
  <c r="P35" i="17"/>
  <c r="S34" i="17"/>
  <c r="R34" i="17"/>
  <c r="Q34" i="17"/>
  <c r="P34" i="17"/>
  <c r="S33" i="17"/>
  <c r="R33" i="17"/>
  <c r="Q33" i="17"/>
  <c r="P33" i="17"/>
  <c r="S32" i="17"/>
  <c r="R32" i="17"/>
  <c r="Q32" i="17"/>
  <c r="P32" i="17"/>
  <c r="S31" i="17"/>
  <c r="R31" i="17"/>
  <c r="Q31" i="17"/>
  <c r="P31" i="17"/>
  <c r="S30" i="17"/>
  <c r="R30" i="17"/>
  <c r="Q30" i="17"/>
  <c r="P30" i="17"/>
  <c r="S29" i="17"/>
  <c r="R29" i="17"/>
  <c r="Q29" i="17"/>
  <c r="P29" i="17"/>
  <c r="S28" i="17"/>
  <c r="R28" i="17"/>
  <c r="Q28" i="17"/>
  <c r="P28" i="17"/>
  <c r="S27" i="17"/>
  <c r="R27" i="17"/>
  <c r="Q27" i="17"/>
  <c r="P27" i="17"/>
  <c r="S26" i="17"/>
  <c r="R26" i="17"/>
  <c r="Q26" i="17"/>
  <c r="P26" i="17"/>
  <c r="S25" i="17"/>
  <c r="R25" i="17"/>
  <c r="Q25" i="17"/>
  <c r="P25" i="17"/>
  <c r="S24" i="17"/>
  <c r="R24" i="17"/>
  <c r="Q24" i="17"/>
  <c r="P24" i="17"/>
  <c r="S23" i="17"/>
  <c r="R23" i="17"/>
  <c r="Q23" i="17"/>
  <c r="P23" i="17"/>
  <c r="S22" i="17"/>
  <c r="R22" i="17"/>
  <c r="Q22" i="17"/>
  <c r="P22" i="17"/>
  <c r="S21" i="17"/>
  <c r="R21" i="17"/>
  <c r="Q21" i="17"/>
  <c r="P21" i="17"/>
  <c r="S20" i="17"/>
  <c r="R20" i="17"/>
  <c r="Q20" i="17"/>
  <c r="P20" i="17"/>
  <c r="S19" i="17"/>
  <c r="R19" i="17"/>
  <c r="Q19" i="17"/>
  <c r="P19" i="17"/>
  <c r="S18" i="17"/>
  <c r="R18" i="17"/>
  <c r="Q18" i="17"/>
  <c r="P18" i="17"/>
  <c r="S17" i="17"/>
  <c r="R17" i="17"/>
  <c r="Q17" i="17"/>
  <c r="P17" i="17"/>
  <c r="S16" i="17"/>
  <c r="R16" i="17"/>
  <c r="Q16" i="17"/>
  <c r="P16" i="17"/>
  <c r="S15" i="17"/>
  <c r="R15" i="17"/>
  <c r="Q15" i="17"/>
  <c r="P15" i="17"/>
  <c r="S14" i="17"/>
  <c r="R14" i="17"/>
  <c r="Q14" i="17"/>
  <c r="P14" i="17"/>
  <c r="S13" i="17"/>
  <c r="R13" i="17"/>
  <c r="Q13" i="17"/>
  <c r="P13" i="17"/>
  <c r="S12" i="17"/>
  <c r="R12" i="17"/>
  <c r="Q12" i="17"/>
  <c r="P12" i="17"/>
  <c r="S11" i="17"/>
  <c r="R11" i="17"/>
  <c r="Q11" i="17"/>
  <c r="P11" i="17"/>
  <c r="S10" i="17"/>
  <c r="R10" i="17"/>
  <c r="Q10" i="17"/>
  <c r="P10" i="17"/>
  <c r="S9" i="17"/>
  <c r="R9" i="17"/>
  <c r="Q9" i="17"/>
  <c r="P9" i="17"/>
  <c r="S8" i="17"/>
  <c r="R8" i="17"/>
  <c r="P8" i="17"/>
  <c r="Q8" i="17"/>
  <c r="S7" i="17"/>
  <c r="R7" i="17"/>
  <c r="Q7" i="17"/>
  <c r="P7" i="17"/>
  <c r="S6" i="17"/>
  <c r="R6" i="17"/>
  <c r="Q6" i="17"/>
  <c r="P6" i="17"/>
  <c r="S5" i="17"/>
  <c r="R5" i="17"/>
  <c r="Q5" i="17"/>
  <c r="P5" i="17"/>
  <c r="S4" i="17"/>
  <c r="R4" i="17"/>
  <c r="Q4" i="17"/>
  <c r="P4" i="17"/>
  <c r="S3" i="17"/>
  <c r="R3" i="17"/>
  <c r="Q3" i="17"/>
  <c r="P3" i="17"/>
  <c r="I11" i="10"/>
  <c r="I22" i="10"/>
  <c r="I21" i="10"/>
  <c r="I20" i="10"/>
  <c r="I19" i="10"/>
  <c r="I18" i="10"/>
  <c r="I17" i="10"/>
  <c r="I16" i="10"/>
  <c r="I15" i="10"/>
  <c r="I14" i="10"/>
  <c r="I13" i="10"/>
  <c r="I12" i="10"/>
  <c r="I6" i="10" l="1"/>
  <c r="I5" i="10"/>
  <c r="I4" i="10"/>
  <c r="I3" i="10"/>
  <c r="M101" i="10" l="1"/>
  <c r="M101" i="10" a="1"/>
</calcChain>
</file>

<file path=xl/connections.xml><?xml version="1.0" encoding="utf-8"?>
<connections xmlns="http://schemas.openxmlformats.org/spreadsheetml/2006/main">
  <connection id="1" keepAlive="1" name="Query - Transaction_ID,Date,Month,Person_Na (2)" description="Connection to the 'Transaction_ID,Date,Month,Person_Na (2)' query in the workbook." type="5" refreshedVersion="0" background="1">
    <dbPr connection="Provider=Microsoft.Mashup.OleDb.1;Data Source=$Workbook$;Location=&quot;Transaction_ID,Date,Month,Person_Na (2)&quot;;Extended Properties=&quot;&quot;" command="SELECT * FROM [Transaction_ID,Date,Month,Person_Na (2)]"/>
  </connection>
  <connection id="2" keepAlive="1" name="Query - Transaction_ID,Date,Month,Person_Na (4)" description="Connection to the 'Transaction_ID,Date,Month,Person_Na (4)' query in the workbook." type="5" refreshedVersion="8" background="1" saveData="1">
    <dbPr connection="Provider=Microsoft.Mashup.OleDb.1;Data Source=$Workbook$;Location=&quot;Transaction_ID,Date,Month,Person_Na (4)&quot;;Extended Properties=&quot;&quot;" command="SELECT * FROM [Transaction_ID,Date,Month,Person_Na (4)]"/>
  </connection>
  <connection id="3" keepAlive="1" name="Query - Transaction_ID,Date,Month,Person_Na (5)" description="Connection to the 'Transaction_ID,Date,Month,Person_Na (5)' query in the workbook." type="5" refreshedVersion="8" background="1" saveData="1">
    <dbPr connection="Provider=Microsoft.Mashup.OleDb.1;Data Source=$Workbook$;Location=&quot;Transaction_ID,Date,Month,Person_Na (5)&quot;;Extended Properties=&quot;&quot;" command="SELECT * FROM [Transaction_ID,Date,Month,Person_Na (5)]"/>
  </connection>
  <connection id="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name="WorksheetConnection_Budget Sheet!$D$3:$F$13" type="102" refreshedVersion="6" minRefreshableVersion="5">
    <extLst>
      <ext xmlns:x15="http://schemas.microsoft.com/office/spreadsheetml/2010/11/main" uri="{DE250136-89BD-433C-8126-D09CA5730AF9}">
        <x15:connection id="Range2" autoDelete="1">
          <x15:rangePr sourceName="_xlcn.WorksheetConnection_BudgetSheetD3F131"/>
        </x15:connection>
      </ext>
    </extLst>
  </connection>
  <connection id="6" name="WorksheetConnection_Expense Sheet!$A$2:$E$100" type="102" refreshedVersion="6" minRefreshableVersion="5">
    <extLst>
      <ext xmlns:x15="http://schemas.microsoft.com/office/spreadsheetml/2010/11/main" uri="{DE250136-89BD-433C-8126-D09CA5730AF9}">
        <x15:connection id="Range1" autoDelete="1">
          <x15:rangePr sourceName="_xlcn.WorksheetConnection_ExpenseSheetA2E1001"/>
        </x15:connection>
      </ext>
    </extLst>
  </connection>
  <connection id="7" name="WorksheetConnection_Income Sheet!$A$2:$F$100" type="102" refreshedVersion="6" minRefreshableVersion="5">
    <extLst>
      <ext xmlns:x15="http://schemas.microsoft.com/office/spreadsheetml/2010/11/main" uri="{DE250136-89BD-433C-8126-D09CA5730AF9}">
        <x15:connection id="Range" autoDelete="1">
          <x15:rangePr sourceName="_xlcn.WorksheetConnection_IncomeSheetA2F1001"/>
        </x15:connection>
      </ext>
    </extLst>
  </connection>
</connections>
</file>

<file path=xl/sharedStrings.xml><?xml version="1.0" encoding="utf-8"?>
<sst xmlns="http://schemas.openxmlformats.org/spreadsheetml/2006/main" count="2755" uniqueCount="349">
  <si>
    <t>Cash</t>
  </si>
  <si>
    <t>UPI</t>
  </si>
  <si>
    <t>Groceries</t>
  </si>
  <si>
    <t>Date</t>
  </si>
  <si>
    <t>Salary</t>
  </si>
  <si>
    <t>Rent</t>
  </si>
  <si>
    <t>Transport</t>
  </si>
  <si>
    <t>Utilities</t>
  </si>
  <si>
    <t>Entertainment</t>
  </si>
  <si>
    <t>Investment</t>
  </si>
  <si>
    <t>Month</t>
  </si>
  <si>
    <t>Age</t>
  </si>
  <si>
    <t>City</t>
  </si>
  <si>
    <t>Savings</t>
  </si>
  <si>
    <t>TXN1001</t>
  </si>
  <si>
    <t>January</t>
  </si>
  <si>
    <t>Rahul Sen</t>
  </si>
  <si>
    <t>Kolkata</t>
  </si>
  <si>
    <t>Stable</t>
  </si>
  <si>
    <t>TXN1002</t>
  </si>
  <si>
    <t>Priya Das</t>
  </si>
  <si>
    <t>Mumbai</t>
  </si>
  <si>
    <t>Freelancing</t>
  </si>
  <si>
    <t>Card</t>
  </si>
  <si>
    <t>Good</t>
  </si>
  <si>
    <t>TXN1003</t>
  </si>
  <si>
    <t>Ankit Roy</t>
  </si>
  <si>
    <t>Delhi</t>
  </si>
  <si>
    <t>Average</t>
  </si>
  <si>
    <t>TXN1004</t>
  </si>
  <si>
    <t>Sneha Paul</t>
  </si>
  <si>
    <t>Bangalore</t>
  </si>
  <si>
    <t>Business</t>
  </si>
  <si>
    <t>NetBanking</t>
  </si>
  <si>
    <t>Excellent</t>
  </si>
  <si>
    <t>TXN1005</t>
  </si>
  <si>
    <t>Rohan Mitra</t>
  </si>
  <si>
    <t>Hyderabad</t>
  </si>
  <si>
    <t>Risky</t>
  </si>
  <si>
    <t>TXN1006</t>
  </si>
  <si>
    <t>Aditi Sharma</t>
  </si>
  <si>
    <t>Pune</t>
  </si>
  <si>
    <t>Healthcare</t>
  </si>
  <si>
    <t>TXN1007</t>
  </si>
  <si>
    <t>Karan Singh</t>
  </si>
  <si>
    <t>Chennai</t>
  </si>
  <si>
    <t>Cheque</t>
  </si>
  <si>
    <t>TXN1008</t>
  </si>
  <si>
    <t>Megha Dutta</t>
  </si>
  <si>
    <t>Internship</t>
  </si>
  <si>
    <t>Education</t>
  </si>
  <si>
    <t>TXN1009</t>
  </si>
  <si>
    <t>Arjun Nair</t>
  </si>
  <si>
    <t>Kochi</t>
  </si>
  <si>
    <t>Travel</t>
  </si>
  <si>
    <t>TXN1010</t>
  </si>
  <si>
    <t>Neha Kapoor</t>
  </si>
  <si>
    <t>Jaipur</t>
  </si>
  <si>
    <t>Shopping</t>
  </si>
  <si>
    <t>TXN1011</t>
  </si>
  <si>
    <t>Vikram Bose</t>
  </si>
  <si>
    <t>TXN1012</t>
  </si>
  <si>
    <t>Isha Jain</t>
  </si>
  <si>
    <t>Food</t>
  </si>
  <si>
    <t>TXN1013</t>
  </si>
  <si>
    <t>Sourav Ghosh</t>
  </si>
  <si>
    <t>TXN1014</t>
  </si>
  <si>
    <t>Ritika Sen</t>
  </si>
  <si>
    <t>TXN1015</t>
  </si>
  <si>
    <t>Abhishek Das</t>
  </si>
  <si>
    <t>TXN1016</t>
  </si>
  <si>
    <t>Nikita Roy</t>
  </si>
  <si>
    <t>TXN1017</t>
  </si>
  <si>
    <t>Manish Yadav</t>
  </si>
  <si>
    <t>TXN1018</t>
  </si>
  <si>
    <t>Simran Kaur</t>
  </si>
  <si>
    <t>Chandigarh</t>
  </si>
  <si>
    <t>TXN1019</t>
  </si>
  <si>
    <t>Raj Malhotra</t>
  </si>
  <si>
    <t>TXN1020</t>
  </si>
  <si>
    <t>Pooja Mehta</t>
  </si>
  <si>
    <t>Ahmedabad</t>
  </si>
  <si>
    <t>TXN1021</t>
  </si>
  <si>
    <t>Deepak Kumar</t>
  </si>
  <si>
    <t>Patna</t>
  </si>
  <si>
    <t>TXN1022</t>
  </si>
  <si>
    <t>Tanvi Shah</t>
  </si>
  <si>
    <t>Surat</t>
  </si>
  <si>
    <t>TXN1023</t>
  </si>
  <si>
    <t>Ritesh Verma</t>
  </si>
  <si>
    <t>TXN1024</t>
  </si>
  <si>
    <t>Ananya Ghosh</t>
  </si>
  <si>
    <t>TXN1025</t>
  </si>
  <si>
    <t>Kunal Sharma</t>
  </si>
  <si>
    <t>TXN1026</t>
  </si>
  <si>
    <t>Shreya Banerjee</t>
  </si>
  <si>
    <t>TXN1027</t>
  </si>
  <si>
    <t>Aman Verma</t>
  </si>
  <si>
    <t>TXN1028</t>
  </si>
  <si>
    <t>Niharika Bose</t>
  </si>
  <si>
    <t>TXN1029</t>
  </si>
  <si>
    <t>Rajeev Kumar</t>
  </si>
  <si>
    <t>TXN1030</t>
  </si>
  <si>
    <t>Anjali Roy</t>
  </si>
  <si>
    <t>TXN1031</t>
  </si>
  <si>
    <t>February</t>
  </si>
  <si>
    <t>Sahil Mehta</t>
  </si>
  <si>
    <t>TXN1032</t>
  </si>
  <si>
    <t>Ritu Sharma</t>
  </si>
  <si>
    <t>TXN1033</t>
  </si>
  <si>
    <t>Vivek Singh</t>
  </si>
  <si>
    <t>TXN1034</t>
  </si>
  <si>
    <t>Pallavi Das</t>
  </si>
  <si>
    <t>TXN1035</t>
  </si>
  <si>
    <t>Arindam Sen</t>
  </si>
  <si>
    <t>TXN1036</t>
  </si>
  <si>
    <t>Neeraj Kapoor</t>
  </si>
  <si>
    <t>TXN1037</t>
  </si>
  <si>
    <t>Komal Jain</t>
  </si>
  <si>
    <t>TXN1038</t>
  </si>
  <si>
    <t>Harsh Patel</t>
  </si>
  <si>
    <t>TXN1039</t>
  </si>
  <si>
    <t>Sonia Gupta</t>
  </si>
  <si>
    <t>TXN1040</t>
  </si>
  <si>
    <t>Kolkatta</t>
  </si>
  <si>
    <t xml:space="preserve"> Salary </t>
  </si>
  <si>
    <t>TXN1041</t>
  </si>
  <si>
    <t>Tina Dey</t>
  </si>
  <si>
    <t>TXN1042</t>
  </si>
  <si>
    <t>Aditya Rao</t>
  </si>
  <si>
    <t>TXN1043</t>
  </si>
  <si>
    <t>Meenakshi Iyer</t>
  </si>
  <si>
    <t>TXN1044</t>
  </si>
  <si>
    <t>Rakesh Yadav</t>
  </si>
  <si>
    <t>TXN1045</t>
  </si>
  <si>
    <t>Swati Ghosh</t>
  </si>
  <si>
    <t>TXN1046</t>
  </si>
  <si>
    <t>Imran Ali</t>
  </si>
  <si>
    <t>TXN1047</t>
  </si>
  <si>
    <t>Priyanka Sen</t>
  </si>
  <si>
    <t>TXN1048</t>
  </si>
  <si>
    <t>Ajay Malhotra</t>
  </si>
  <si>
    <t>TXN1049</t>
  </si>
  <si>
    <t>Nupur Das</t>
  </si>
  <si>
    <t>TXN1050</t>
  </si>
  <si>
    <t>Karan Oberoi</t>
  </si>
  <si>
    <t>TXN1051</t>
  </si>
  <si>
    <t>Shivani Roy</t>
  </si>
  <si>
    <t>TXN1052</t>
  </si>
  <si>
    <t>Manav Jain</t>
  </si>
  <si>
    <t>TXN1053</t>
  </si>
  <si>
    <t>Snehal Patil</t>
  </si>
  <si>
    <t>TXN1054</t>
  </si>
  <si>
    <t>Rohit Das</t>
  </si>
  <si>
    <t>TXN1055</t>
  </si>
  <si>
    <t>Ananya Kapoor</t>
  </si>
  <si>
    <t>TXN1056</t>
  </si>
  <si>
    <t>Deep Roy</t>
  </si>
  <si>
    <t>TXN1057</t>
  </si>
  <si>
    <t>Tarun Singh</t>
  </si>
  <si>
    <t>TXN1058</t>
  </si>
  <si>
    <t>Pooja Sharma</t>
  </si>
  <si>
    <t>TXN1059</t>
  </si>
  <si>
    <t>March</t>
  </si>
  <si>
    <t>Abhinav Bose</t>
  </si>
  <si>
    <t>TXN1060</t>
  </si>
  <si>
    <t>Ritika Das</t>
  </si>
  <si>
    <t>TXN1061</t>
  </si>
  <si>
    <t>Vinay Kumar</t>
  </si>
  <si>
    <t>TXN1062</t>
  </si>
  <si>
    <t>Neha Sen</t>
  </si>
  <si>
    <t>TXN1063</t>
  </si>
  <si>
    <t>Rajat Sharma</t>
  </si>
  <si>
    <t>TXN1064</t>
  </si>
  <si>
    <t>Ishita Roy</t>
  </si>
  <si>
    <t>TXN1065</t>
  </si>
  <si>
    <t>Sandeep Jain</t>
  </si>
  <si>
    <t>TXN1066</t>
  </si>
  <si>
    <t>Monika Gupta</t>
  </si>
  <si>
    <t>TXN1067</t>
  </si>
  <si>
    <t>Arjun Das</t>
  </si>
  <si>
    <t>TXN1068</t>
  </si>
  <si>
    <t>Preeti Nair</t>
  </si>
  <si>
    <t>TXN1069</t>
  </si>
  <si>
    <t>Kishore Patel</t>
  </si>
  <si>
    <t>TXN1070</t>
  </si>
  <si>
    <t>Simran Das</t>
  </si>
  <si>
    <t>TXN1071</t>
  </si>
  <si>
    <t>Aditya Singh</t>
  </si>
  <si>
    <t>TXN1072</t>
  </si>
  <si>
    <t>Payal Roy</t>
  </si>
  <si>
    <t>TXN1075</t>
  </si>
  <si>
    <t>Amit Bose</t>
  </si>
  <si>
    <t>TXN1076</t>
  </si>
  <si>
    <t>Sonia Jain</t>
  </si>
  <si>
    <t>TXN1077</t>
  </si>
  <si>
    <t>Harsh Vardhan</t>
  </si>
  <si>
    <t>TXN1078</t>
  </si>
  <si>
    <t>Ankita Sen</t>
  </si>
  <si>
    <t>TXN1079</t>
  </si>
  <si>
    <t>Rohan Sharma</t>
  </si>
  <si>
    <t>TXN1080</t>
  </si>
  <si>
    <t>Priya Roy</t>
  </si>
  <si>
    <t>TXN1081</t>
  </si>
  <si>
    <t>Abhishek Jain</t>
  </si>
  <si>
    <t>TXN1082</t>
  </si>
  <si>
    <t>Tania Das</t>
  </si>
  <si>
    <t>TXN1083</t>
  </si>
  <si>
    <t>Manish Roy</t>
  </si>
  <si>
    <t>TXN1084</t>
  </si>
  <si>
    <t>Sweta Kapoor</t>
  </si>
  <si>
    <t>TXN1085</t>
  </si>
  <si>
    <t>Kunal Verma</t>
  </si>
  <si>
    <t>TXN1086</t>
  </si>
  <si>
    <t>Megha Roy</t>
  </si>
  <si>
    <t>TXN1087</t>
  </si>
  <si>
    <t>Rajat Das</t>
  </si>
  <si>
    <t>TXN1088</t>
  </si>
  <si>
    <t>Sneha Kapoor</t>
  </si>
  <si>
    <t>TXN1089</t>
  </si>
  <si>
    <t>Arvind Sharma</t>
  </si>
  <si>
    <t>TXN1090</t>
  </si>
  <si>
    <t>April</t>
  </si>
  <si>
    <t>Neha Das</t>
  </si>
  <si>
    <t>TXN1091</t>
  </si>
  <si>
    <t>Rahul Mehta</t>
  </si>
  <si>
    <t>TXN1092</t>
  </si>
  <si>
    <t>Priyanka Roy</t>
  </si>
  <si>
    <t>TXN1093</t>
  </si>
  <si>
    <t>Vikas Jain</t>
  </si>
  <si>
    <t>TXN1094</t>
  </si>
  <si>
    <t>Sohini Sen</t>
  </si>
  <si>
    <t>TXN1095</t>
  </si>
  <si>
    <t>Ankit Sharma</t>
  </si>
  <si>
    <t>TXN1096</t>
  </si>
  <si>
    <t>Tina Roy</t>
  </si>
  <si>
    <t>TXN1097</t>
  </si>
  <si>
    <t>Rakesh Gupta</t>
  </si>
  <si>
    <t>TXN1098</t>
  </si>
  <si>
    <t>Pallabi Das</t>
  </si>
  <si>
    <t>TXN1099</t>
  </si>
  <si>
    <t>Sumit Roy</t>
  </si>
  <si>
    <t>TXN1100</t>
  </si>
  <si>
    <t>Ayesha Khan</t>
  </si>
  <si>
    <t>Id</t>
  </si>
  <si>
    <t>City2</t>
  </si>
  <si>
    <t>May</t>
  </si>
  <si>
    <t>June</t>
  </si>
  <si>
    <t>July</t>
  </si>
  <si>
    <t>August</t>
  </si>
  <si>
    <t>September</t>
  </si>
  <si>
    <t>October</t>
  </si>
  <si>
    <t>November</t>
  </si>
  <si>
    <t>December</t>
  </si>
  <si>
    <t>Total Income</t>
  </si>
  <si>
    <t>Average Income</t>
  </si>
  <si>
    <t>Highest Income</t>
  </si>
  <si>
    <t>Lowest Income</t>
  </si>
  <si>
    <t>Total Income View</t>
  </si>
  <si>
    <t>Monthly Income</t>
  </si>
  <si>
    <t>Mode</t>
  </si>
  <si>
    <t>Expense Category</t>
  </si>
  <si>
    <t>Total Expense</t>
  </si>
  <si>
    <t>Category</t>
  </si>
  <si>
    <t>Loan EMI</t>
  </si>
  <si>
    <t>MONTHLY INCOME ANALYSIS</t>
  </si>
  <si>
    <t>MONTHLY EXPENSE ANALYSIS</t>
  </si>
  <si>
    <t>Person Name</t>
  </si>
  <si>
    <t>Income Source</t>
  </si>
  <si>
    <t>Payment Method</t>
  </si>
  <si>
    <t>Expense Amount</t>
  </si>
  <si>
    <t>RAW DATA</t>
  </si>
  <si>
    <t>ExpenseCategory</t>
  </si>
  <si>
    <t>Credit Score</t>
  </si>
  <si>
    <t>Financial Status</t>
  </si>
  <si>
    <t>DATA CLEANING PROCESS</t>
  </si>
  <si>
    <t>Income Source2</t>
  </si>
  <si>
    <t>Expense Category2</t>
  </si>
  <si>
    <t>Loan EMI2</t>
  </si>
  <si>
    <t>Payment Method2</t>
  </si>
  <si>
    <t>Expense View</t>
  </si>
  <si>
    <t>Expence Category</t>
  </si>
  <si>
    <t>Monthly Expenses</t>
  </si>
  <si>
    <t>Payment Method Filter</t>
  </si>
  <si>
    <t>Select Method</t>
  </si>
  <si>
    <t>Month Filter</t>
  </si>
  <si>
    <t>Select Month</t>
  </si>
  <si>
    <t>Cash/UPI</t>
  </si>
  <si>
    <t>MONTHLY BUDGET ANALYSIS</t>
  </si>
  <si>
    <t>Actual Expense</t>
  </si>
  <si>
    <t>Remaining Budget</t>
  </si>
  <si>
    <t>Status</t>
  </si>
  <si>
    <t>OUR BUDGET</t>
  </si>
  <si>
    <t>Budget</t>
  </si>
  <si>
    <t>CALCULATION OF BUDGET</t>
  </si>
  <si>
    <t>Monthly Budget</t>
  </si>
  <si>
    <t>Row Labels</t>
  </si>
  <si>
    <t>Grand Total</t>
  </si>
  <si>
    <t>Sum of Monthly Income</t>
  </si>
  <si>
    <t>Unknown</t>
  </si>
  <si>
    <t>Sum of Expense Amount</t>
  </si>
  <si>
    <t>Sum of Monthly Budget</t>
  </si>
  <si>
    <t>Sum of Actual Expense</t>
  </si>
  <si>
    <t>PERSONAL FINANCE &amp; BUDGET PLANNER</t>
  </si>
  <si>
    <t>FINAL ANALYSIS DASHBOARD</t>
  </si>
  <si>
    <t>Data Period:  Jan 2025-Dec 2025</t>
  </si>
  <si>
    <t>💰 Total Income</t>
  </si>
  <si>
    <t>₹78,71,000</t>
  </si>
  <si>
    <t>Total yearly income</t>
  </si>
  <si>
    <t>💸 Total Expense</t>
  </si>
  <si>
    <t>₹7,79,000</t>
  </si>
  <si>
    <t>Total expenses recorded</t>
  </si>
  <si>
    <t>🏦 Total Savings</t>
  </si>
  <si>
    <t>₹10,11,300</t>
  </si>
  <si>
    <t>Total savings accumulated</t>
  </si>
  <si>
    <t>📊 Remaining Budget</t>
  </si>
  <si>
    <t>₹2,69,300</t>
  </si>
  <si>
    <t>Budget left after expenses</t>
  </si>
  <si>
    <t>💳 Avg Credit Score</t>
  </si>
  <si>
    <t>Average financial score</t>
  </si>
  <si>
    <t>MONTHLY INCOME TREND</t>
  </si>
  <si>
    <t>EXPENSE CATEGORY ANALYSIS</t>
  </si>
  <si>
    <t>BUDGET VS ACTUAL ANALYSIS</t>
  </si>
  <si>
    <t>📈 Monthly Income Trend</t>
  </si>
  <si>
    <t>💸 Expense Category Analysis</t>
  </si>
  <si>
    <t>📊 Budget vs Actual Analysis</t>
  </si>
  <si>
    <t>PIVOT ANALYSIS TABLES</t>
  </si>
  <si>
    <t>MONTHLY INCOME SUMMARY</t>
  </si>
  <si>
    <t>EXPENSE CATEGORY SUMMARY</t>
  </si>
  <si>
    <t>BUDGET VS ACTUAL SUMMARY</t>
  </si>
  <si>
    <t>PERSONAL  FINANCE &amp; BUDGET PLANNER</t>
  </si>
  <si>
    <t>PRESENTED BY</t>
  </si>
  <si>
    <t>Aakash Nath &amp; Abhijit Roy</t>
  </si>
  <si>
    <t>📄 RAW DATA</t>
  </si>
  <si>
    <t>View original financial records</t>
  </si>
  <si>
    <t>🧹 CLEANING TASKS</t>
  </si>
  <si>
    <t>📊 FINAL DASHBOARD</t>
  </si>
  <si>
    <t>✅ CLEANED DATA</t>
  </si>
  <si>
    <t>💸 EXPENSE ANALYSIS</t>
  </si>
  <si>
    <t>📈 PIVOT TABLES</t>
  </si>
  <si>
    <t xml:space="preserve">💰 INCOME ANALYSIS </t>
  </si>
  <si>
    <t>🏦 BUDGET ANALYSIS</t>
  </si>
  <si>
    <t>Steps performed for data cleaning and preprocessing</t>
  </si>
  <si>
    <t>Processed and structured financial dataset</t>
  </si>
  <si>
    <t>Category-wise expense monitoring and comparison</t>
  </si>
  <si>
    <t>Interactive charts, KPIs and insights</t>
  </si>
  <si>
    <t>Monthly income tracking and trend analysis</t>
  </si>
  <si>
    <t>Budget planning versus actual spending</t>
  </si>
  <si>
    <t>CLEANED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</si>
</sst>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4009]\ * #,##0.00_ ;_ [$₹-4009]\ * \-#,##0.00_ ;_ [$₹-4009]\ * &quot;-&quot;??_ ;_ @_ "/>
    <numFmt numFmtId="165" formatCode="_ [$₹-4009]\ * #,##0_ ;_ [$₹-4009]\ * \-#,##0_ ;_ [$₹-4009]\ * &quot;-&quot;??_ ;_ @_ "/>
  </numFmts>
  <fonts count="24" x14ac:knownFonts="1">
    <font>
      <sz val="11"/>
      <color theme="1"/>
      <name val="Calibri"/>
      <family val="2"/>
      <scheme val="minor"/>
    </font>
    <font>
      <sz val="8"/>
      <name val="Calibri"/>
      <family val="2"/>
      <scheme val="minor"/>
    </font>
    <font>
      <sz val="11"/>
      <color theme="1"/>
      <name val="Times New Roman"/>
      <family val="1"/>
    </font>
    <font>
      <b/>
      <sz val="11"/>
      <color theme="1"/>
      <name val="Times New Roman"/>
      <family val="1"/>
    </font>
    <font>
      <b/>
      <sz val="11"/>
      <color theme="0"/>
      <name val="Times New Roman"/>
      <family val="1"/>
    </font>
    <font>
      <b/>
      <sz val="36"/>
      <color theme="0"/>
      <name val="Times New Roman"/>
      <family val="1"/>
    </font>
    <font>
      <b/>
      <sz val="48"/>
      <color theme="0"/>
      <name val="Times New Roman"/>
      <family val="1"/>
    </font>
    <font>
      <b/>
      <sz val="11"/>
      <color theme="0"/>
      <name val="Calibri"/>
      <family val="2"/>
      <scheme val="minor"/>
    </font>
    <font>
      <b/>
      <sz val="11"/>
      <color theme="1"/>
      <name val="Calibri"/>
      <family val="2"/>
      <scheme val="minor"/>
    </font>
    <font>
      <b/>
      <sz val="16"/>
      <color theme="0"/>
      <name val="Times New Roman"/>
      <family val="1"/>
    </font>
    <font>
      <b/>
      <sz val="20"/>
      <color theme="0"/>
      <name val="Times New Roman"/>
      <family val="1"/>
    </font>
    <font>
      <sz val="20"/>
      <color theme="1"/>
      <name val="Calibri"/>
      <family val="2"/>
      <scheme val="minor"/>
    </font>
    <font>
      <sz val="11"/>
      <color theme="0"/>
      <name val="Times New Roman"/>
      <family val="1"/>
    </font>
    <font>
      <b/>
      <sz val="36"/>
      <color theme="1"/>
      <name val="Calibri"/>
      <family val="2"/>
      <scheme val="minor"/>
    </font>
    <font>
      <sz val="11"/>
      <color theme="1"/>
      <name val="Times New Roman"/>
    </font>
    <font>
      <sz val="11"/>
      <color theme="0"/>
      <name val="Times New Roman"/>
    </font>
    <font>
      <b/>
      <sz val="28"/>
      <color theme="0"/>
      <name val="Times New Roman"/>
      <family val="1"/>
    </font>
    <font>
      <b/>
      <sz val="18"/>
      <color theme="0"/>
      <name val="Times New Roman"/>
      <family val="1"/>
    </font>
    <font>
      <i/>
      <sz val="11"/>
      <color theme="0"/>
      <name val="Times New Roman"/>
      <family val="1"/>
    </font>
    <font>
      <b/>
      <sz val="26"/>
      <color theme="0"/>
      <name val="Times New Roman"/>
      <family val="1"/>
    </font>
    <font>
      <b/>
      <sz val="14"/>
      <color theme="0"/>
      <name val="Times New Roman"/>
      <family val="1"/>
    </font>
    <font>
      <b/>
      <sz val="22"/>
      <color theme="0"/>
      <name val="Times New Roman"/>
      <family val="1"/>
    </font>
    <font>
      <u/>
      <sz val="11"/>
      <color theme="10"/>
      <name val="Calibri"/>
      <family val="2"/>
      <scheme val="minor"/>
    </font>
    <font>
      <b/>
      <u/>
      <sz val="14"/>
      <color theme="0"/>
      <name val="Times New Roman"/>
      <family val="1"/>
    </font>
  </fonts>
  <fills count="12">
    <fill>
      <patternFill patternType="none"/>
    </fill>
    <fill>
      <patternFill patternType="gray125"/>
    </fill>
    <fill>
      <patternFill patternType="solid">
        <fgColor theme="4" tint="-0.499984740745262"/>
        <bgColor theme="9"/>
      </patternFill>
    </fill>
    <fill>
      <patternFill patternType="solid">
        <fgColor theme="4" tint="-0.499984740745262"/>
        <bgColor indexed="64"/>
      </patternFill>
    </fill>
    <fill>
      <patternFill patternType="solid">
        <fgColor rgb="FF7030A0"/>
        <bgColor indexed="64"/>
      </patternFill>
    </fill>
    <fill>
      <patternFill patternType="solid">
        <fgColor rgb="FFCC99FF"/>
        <bgColor indexed="64"/>
      </patternFill>
    </fill>
    <fill>
      <patternFill patternType="solid">
        <fgColor theme="9" tint="0.39997558519241921"/>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theme="9" tint="0.79998168889431442"/>
      </patternFill>
    </fill>
    <fill>
      <patternFill patternType="solid">
        <fgColor rgb="FF0070C0"/>
        <bgColor indexed="64"/>
      </patternFill>
    </fill>
    <fill>
      <patternFill patternType="solid">
        <fgColor rgb="FFEE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theme="9" tint="0.39997558519241921"/>
      </bottom>
      <diagonal/>
    </border>
    <border>
      <left style="thin">
        <color indexed="64"/>
      </left>
      <right style="thin">
        <color indexed="64"/>
      </right>
      <top/>
      <bottom style="thin">
        <color indexed="64"/>
      </bottom>
      <diagonal/>
    </border>
    <border>
      <left style="thin">
        <color theme="9" tint="0.39997558519241921"/>
      </left>
      <right/>
      <top/>
      <bottom style="thin">
        <color theme="9" tint="0.39997558519241921"/>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22" fillId="0" borderId="0" applyNumberFormat="0" applyFill="0" applyBorder="0" applyAlignment="0" applyProtection="0"/>
  </cellStyleXfs>
  <cellXfs count="109">
    <xf numFmtId="0" fontId="0" fillId="0" borderId="0" xfId="0"/>
    <xf numFmtId="0" fontId="0" fillId="0" borderId="0" xfId="0" applyAlignment="1"/>
    <xf numFmtId="0" fontId="0" fillId="0" borderId="0" xfId="0" applyFill="1" applyAlignment="1"/>
    <xf numFmtId="0" fontId="0" fillId="0" borderId="0" xfId="0" applyFill="1" applyBorder="1" applyAlignment="1"/>
    <xf numFmtId="0" fontId="0" fillId="0" borderId="0" xfId="0" applyFill="1" applyBorder="1"/>
    <xf numFmtId="0" fontId="4" fillId="0" borderId="0" xfId="0" applyFont="1" applyFill="1" applyBorder="1" applyAlignment="1"/>
    <xf numFmtId="0" fontId="4" fillId="2" borderId="1" xfId="0" applyFont="1" applyFill="1" applyBorder="1" applyAlignment="1">
      <alignment horizontal="center"/>
    </xf>
    <xf numFmtId="0" fontId="2" fillId="0" borderId="0" xfId="0" applyFont="1"/>
    <xf numFmtId="0" fontId="4" fillId="3" borderId="1" xfId="0" applyFont="1" applyFill="1" applyBorder="1"/>
    <xf numFmtId="0" fontId="4" fillId="3" borderId="1" xfId="0" applyFont="1" applyFill="1" applyBorder="1" applyAlignment="1">
      <alignment horizontal="center"/>
    </xf>
    <xf numFmtId="0" fontId="2" fillId="3" borderId="0" xfId="0" applyFont="1" applyFill="1" applyAlignment="1">
      <alignment horizontal="center"/>
    </xf>
    <xf numFmtId="0" fontId="2" fillId="5" borderId="1" xfId="0" applyFont="1" applyFill="1" applyBorder="1" applyAlignment="1">
      <alignment horizontal="center"/>
    </xf>
    <xf numFmtId="0" fontId="4" fillId="3" borderId="1" xfId="0" applyFont="1" applyFill="1" applyBorder="1" applyAlignment="1">
      <alignment horizontal="center"/>
    </xf>
    <xf numFmtId="0" fontId="3" fillId="6" borderId="1" xfId="0" applyFont="1" applyFill="1" applyBorder="1" applyAlignment="1"/>
    <xf numFmtId="0" fontId="3" fillId="7" borderId="1" xfId="0" applyFont="1" applyFill="1" applyBorder="1" applyAlignment="1"/>
    <xf numFmtId="165" fontId="3" fillId="6" borderId="1" xfId="0" applyNumberFormat="1" applyFont="1" applyFill="1" applyBorder="1" applyAlignment="1"/>
    <xf numFmtId="165" fontId="3" fillId="7" borderId="1" xfId="0" applyNumberFormat="1" applyFont="1" applyFill="1" applyBorder="1" applyAlignment="1"/>
    <xf numFmtId="0" fontId="8" fillId="0" borderId="0" xfId="0" applyFont="1"/>
    <xf numFmtId="0" fontId="8" fillId="0" borderId="0" xfId="0" applyFont="1" applyFill="1" applyBorder="1" applyAlignment="1"/>
    <xf numFmtId="0" fontId="4" fillId="2" borderId="3" xfId="0" applyFont="1" applyFill="1" applyBorder="1" applyAlignment="1">
      <alignment horizontal="center"/>
    </xf>
    <xf numFmtId="0" fontId="4" fillId="3" borderId="2" xfId="0" applyFont="1" applyFill="1" applyBorder="1" applyAlignment="1">
      <alignment horizontal="center"/>
    </xf>
    <xf numFmtId="0" fontId="4" fillId="3" borderId="4" xfId="0" applyFont="1" applyFill="1" applyBorder="1" applyAlignment="1">
      <alignment horizontal="center"/>
    </xf>
    <xf numFmtId="0" fontId="12" fillId="3" borderId="1" xfId="0" applyFont="1" applyFill="1" applyBorder="1"/>
    <xf numFmtId="0" fontId="3" fillId="0" borderId="0" xfId="0" applyFont="1"/>
    <xf numFmtId="0" fontId="3" fillId="0" borderId="0" xfId="0" applyFont="1" applyFill="1" applyBorder="1"/>
    <xf numFmtId="0" fontId="4" fillId="0" borderId="0" xfId="0" applyFont="1" applyFill="1" applyBorder="1" applyAlignment="1">
      <alignment horizontal="center"/>
    </xf>
    <xf numFmtId="0" fontId="3" fillId="8" borderId="1" xfId="0" applyFont="1" applyFill="1" applyBorder="1" applyAlignment="1">
      <alignment horizontal="center"/>
    </xf>
    <xf numFmtId="14" fontId="3" fillId="9" borderId="1" xfId="0" applyNumberFormat="1" applyFont="1" applyFill="1" applyBorder="1" applyAlignment="1">
      <alignment horizontal="center"/>
    </xf>
    <xf numFmtId="0" fontId="3" fillId="9" borderId="1" xfId="0" applyFont="1" applyFill="1" applyBorder="1" applyAlignment="1">
      <alignment horizontal="center"/>
    </xf>
    <xf numFmtId="14" fontId="3" fillId="8" borderId="1" xfId="0" applyNumberFormat="1" applyFont="1" applyFill="1" applyBorder="1" applyAlignment="1">
      <alignment horizontal="center"/>
    </xf>
    <xf numFmtId="165" fontId="3" fillId="9" borderId="1" xfId="0" applyNumberFormat="1" applyFont="1" applyFill="1" applyBorder="1" applyAlignment="1">
      <alignment horizontal="center"/>
    </xf>
    <xf numFmtId="165" fontId="3" fillId="8" borderId="1" xfId="0" applyNumberFormat="1" applyFont="1" applyFill="1" applyBorder="1" applyAlignment="1">
      <alignment horizontal="center"/>
    </xf>
    <xf numFmtId="0" fontId="3" fillId="8" borderId="1" xfId="0" applyFont="1" applyFill="1" applyBorder="1" applyAlignment="1"/>
    <xf numFmtId="165" fontId="3" fillId="8" borderId="1" xfId="0" applyNumberFormat="1" applyFont="1" applyFill="1" applyBorder="1"/>
    <xf numFmtId="164" fontId="3" fillId="8" borderId="1" xfId="0" applyNumberFormat="1" applyFont="1" applyFill="1" applyBorder="1"/>
    <xf numFmtId="0" fontId="2" fillId="8" borderId="1" xfId="0" applyFont="1" applyFill="1" applyBorder="1" applyAlignment="1">
      <alignment horizontal="center"/>
    </xf>
    <xf numFmtId="14" fontId="2" fillId="8" borderId="1" xfId="0" applyNumberFormat="1" applyFont="1" applyFill="1" applyBorder="1" applyAlignment="1">
      <alignment horizontal="center"/>
    </xf>
    <xf numFmtId="0" fontId="3" fillId="0" borderId="0" xfId="0" applyFont="1" applyFill="1" applyBorder="1" applyAlignment="1">
      <alignment horizontal="center"/>
    </xf>
    <xf numFmtId="0" fontId="7" fillId="0" borderId="0" xfId="0" applyFont="1" applyFill="1" applyBorder="1" applyAlignment="1"/>
    <xf numFmtId="0" fontId="12" fillId="3" borderId="1" xfId="0" applyFont="1" applyFill="1" applyBorder="1" applyAlignment="1">
      <alignment horizontal="center"/>
    </xf>
    <xf numFmtId="165" fontId="3" fillId="0" borderId="0" xfId="0" applyNumberFormat="1" applyFont="1" applyFill="1" applyBorder="1" applyAlignment="1">
      <alignment horizontal="center"/>
    </xf>
    <xf numFmtId="165" fontId="2" fillId="8" borderId="1" xfId="0" applyNumberFormat="1" applyFont="1" applyFill="1" applyBorder="1" applyAlignment="1">
      <alignment horizontal="center"/>
    </xf>
    <xf numFmtId="0" fontId="12" fillId="3" borderId="1" xfId="0" applyFont="1" applyFill="1" applyBorder="1" applyAlignment="1">
      <alignment horizontal="left"/>
    </xf>
    <xf numFmtId="0" fontId="2" fillId="8" borderId="1" xfId="0" applyFont="1" applyFill="1" applyBorder="1" applyAlignment="1">
      <alignment horizontal="left"/>
    </xf>
    <xf numFmtId="165" fontId="12" fillId="3" borderId="1" xfId="0" applyNumberFormat="1" applyFont="1" applyFill="1" applyBorder="1" applyAlignment="1">
      <alignment horizontal="center"/>
    </xf>
    <xf numFmtId="165" fontId="14" fillId="8" borderId="1" xfId="0" applyNumberFormat="1" applyFont="1" applyFill="1" applyBorder="1"/>
    <xf numFmtId="0" fontId="14" fillId="8" borderId="1" xfId="0" applyFont="1" applyFill="1" applyBorder="1" applyAlignment="1">
      <alignment horizontal="left"/>
    </xf>
    <xf numFmtId="0" fontId="15" fillId="3" borderId="1" xfId="0" applyFont="1" applyFill="1" applyBorder="1"/>
    <xf numFmtId="165" fontId="15" fillId="3" borderId="1" xfId="0" applyNumberFormat="1" applyFont="1" applyFill="1" applyBorder="1"/>
    <xf numFmtId="0" fontId="15" fillId="3" borderId="1" xfId="0" applyFont="1" applyFill="1" applyBorder="1" applyAlignment="1">
      <alignment horizontal="left"/>
    </xf>
    <xf numFmtId="0" fontId="4" fillId="4" borderId="1" xfId="0" applyFont="1" applyFill="1" applyBorder="1" applyAlignment="1">
      <alignment horizontal="center"/>
    </xf>
    <xf numFmtId="0" fontId="0" fillId="0" borderId="0" xfId="0" applyAlignment="1">
      <alignment vertical="center"/>
    </xf>
    <xf numFmtId="0" fontId="4" fillId="0" borderId="0" xfId="0" applyFont="1" applyFill="1" applyBorder="1" applyAlignment="1">
      <alignment vertical="top"/>
    </xf>
    <xf numFmtId="0" fontId="4" fillId="0" borderId="7" xfId="0" applyFont="1" applyFill="1" applyBorder="1" applyAlignment="1">
      <alignment vertical="top"/>
    </xf>
    <xf numFmtId="0" fontId="18" fillId="0" borderId="0" xfId="0" applyFont="1" applyFill="1" applyBorder="1" applyAlignment="1">
      <alignment vertical="center"/>
    </xf>
    <xf numFmtId="0" fontId="0" fillId="0" borderId="0" xfId="0" applyBorder="1" applyAlignment="1"/>
    <xf numFmtId="165" fontId="2" fillId="8" borderId="1" xfId="0" applyNumberFormat="1" applyFont="1" applyFill="1" applyBorder="1"/>
    <xf numFmtId="165" fontId="12" fillId="3" borderId="1" xfId="0" applyNumberFormat="1" applyFont="1" applyFill="1" applyBorder="1"/>
    <xf numFmtId="0" fontId="0" fillId="3" borderId="0" xfId="0" applyFill="1"/>
    <xf numFmtId="0" fontId="12" fillId="3" borderId="1" xfId="0" pivotButton="1" applyFont="1" applyFill="1" applyBorder="1" applyAlignment="1">
      <alignment horizontal="center"/>
    </xf>
    <xf numFmtId="0" fontId="12" fillId="3" borderId="1" xfId="0" pivotButton="1" applyFont="1" applyFill="1" applyBorder="1"/>
    <xf numFmtId="0" fontId="15" fillId="3" borderId="1" xfId="0" pivotButton="1" applyFont="1" applyFill="1" applyBorder="1"/>
    <xf numFmtId="0" fontId="19" fillId="0" borderId="0" xfId="0" applyFont="1" applyFill="1" applyBorder="1" applyAlignment="1"/>
    <xf numFmtId="0" fontId="23" fillId="3" borderId="1" xfId="1" applyFont="1" applyFill="1" applyBorder="1" applyAlignment="1">
      <alignment horizontal="left"/>
    </xf>
    <xf numFmtId="0" fontId="2" fillId="8" borderId="1" xfId="0" applyFont="1" applyFill="1" applyBorder="1" applyAlignment="1">
      <alignment horizontal="left"/>
    </xf>
    <xf numFmtId="0" fontId="23" fillId="3" borderId="1" xfId="1" applyFont="1" applyFill="1" applyBorder="1"/>
    <xf numFmtId="0" fontId="4" fillId="0" borderId="0" xfId="0" applyFont="1" applyFill="1" applyBorder="1" applyAlignment="1">
      <alignment horizontal="left"/>
    </xf>
    <xf numFmtId="0" fontId="2" fillId="0" borderId="0" xfId="0" applyFont="1" applyFill="1" applyBorder="1" applyAlignment="1">
      <alignment horizontal="left"/>
    </xf>
    <xf numFmtId="0" fontId="8" fillId="0" borderId="0" xfId="0" applyFont="1" applyFill="1" applyBorder="1" applyAlignment="1">
      <alignment horizontal="left"/>
    </xf>
    <xf numFmtId="0" fontId="21" fillId="3" borderId="0" xfId="0" applyFont="1" applyFill="1" applyBorder="1" applyAlignment="1">
      <alignment horizontal="center" vertical="center"/>
    </xf>
    <xf numFmtId="0" fontId="21" fillId="3" borderId="9" xfId="0" applyFont="1" applyFill="1" applyBorder="1" applyAlignment="1">
      <alignment horizontal="center" vertical="center"/>
    </xf>
    <xf numFmtId="0" fontId="20" fillId="3" borderId="0" xfId="0" applyFont="1" applyFill="1" applyBorder="1" applyAlignment="1">
      <alignment horizontal="center"/>
    </xf>
    <xf numFmtId="0" fontId="20" fillId="3" borderId="9" xfId="0" applyFont="1" applyFill="1" applyBorder="1" applyAlignment="1">
      <alignment horizontal="center"/>
    </xf>
    <xf numFmtId="0" fontId="20" fillId="3" borderId="6" xfId="0" applyFont="1" applyFill="1" applyBorder="1" applyAlignment="1">
      <alignment horizontal="center"/>
    </xf>
    <xf numFmtId="0" fontId="20" fillId="3" borderId="10" xfId="0" applyFont="1" applyFill="1" applyBorder="1" applyAlignment="1">
      <alignment horizontal="center"/>
    </xf>
    <xf numFmtId="0" fontId="10" fillId="3" borderId="1" xfId="0" applyFont="1" applyFill="1" applyBorder="1" applyAlignment="1">
      <alignment horizontal="center"/>
    </xf>
    <xf numFmtId="0" fontId="11" fillId="3" borderId="1" xfId="0" applyFont="1" applyFill="1" applyBorder="1" applyAlignment="1">
      <alignment horizontal="center"/>
    </xf>
    <xf numFmtId="0" fontId="4" fillId="3" borderId="1" xfId="0" applyFont="1" applyFill="1" applyBorder="1" applyAlignment="1">
      <alignment horizontal="center"/>
    </xf>
    <xf numFmtId="0" fontId="5" fillId="3" borderId="1" xfId="0" applyFont="1" applyFill="1" applyBorder="1" applyAlignment="1">
      <alignment horizontal="center"/>
    </xf>
    <xf numFmtId="0" fontId="13" fillId="3" borderId="1" xfId="0" applyFont="1" applyFill="1" applyBorder="1" applyAlignment="1">
      <alignment horizontal="center"/>
    </xf>
    <xf numFmtId="0" fontId="4" fillId="3" borderId="3" xfId="0" applyFont="1" applyFill="1" applyBorder="1" applyAlignment="1">
      <alignment horizontal="center"/>
    </xf>
    <xf numFmtId="0" fontId="19" fillId="3" borderId="0" xfId="0" applyFont="1" applyFill="1" applyAlignment="1">
      <alignment horizontal="center"/>
    </xf>
    <xf numFmtId="0" fontId="6" fillId="3" borderId="0" xfId="0" applyFont="1" applyFill="1" applyAlignment="1">
      <alignment horizontal="center"/>
    </xf>
    <xf numFmtId="0" fontId="9" fillId="3" borderId="1" xfId="0" applyFont="1" applyFill="1" applyBorder="1" applyAlignment="1">
      <alignment horizontal="center"/>
    </xf>
    <xf numFmtId="0" fontId="5" fillId="3" borderId="5" xfId="0" applyFont="1" applyFill="1" applyBorder="1" applyAlignment="1">
      <alignment horizontal="center"/>
    </xf>
    <xf numFmtId="0" fontId="5" fillId="3" borderId="6" xfId="0" applyFont="1" applyFill="1" applyBorder="1" applyAlignment="1">
      <alignment horizontal="center"/>
    </xf>
    <xf numFmtId="0" fontId="16" fillId="11" borderId="0" xfId="0" applyFont="1" applyFill="1" applyAlignment="1">
      <alignment horizontal="center" vertical="center"/>
    </xf>
    <xf numFmtId="0" fontId="4" fillId="11" borderId="0" xfId="0" applyFont="1" applyFill="1" applyAlignment="1">
      <alignment horizontal="center" vertical="top"/>
    </xf>
    <xf numFmtId="0" fontId="16" fillId="10" borderId="0" xfId="0" applyFont="1" applyFill="1" applyAlignment="1">
      <alignment horizontal="center" vertical="center"/>
    </xf>
    <xf numFmtId="0" fontId="4" fillId="10" borderId="6" xfId="0" applyFont="1" applyFill="1" applyBorder="1" applyAlignment="1">
      <alignment horizontal="center" vertical="top"/>
    </xf>
    <xf numFmtId="0" fontId="4" fillId="3" borderId="6" xfId="0" applyFont="1" applyFill="1" applyBorder="1" applyAlignment="1">
      <alignment horizontal="center" vertical="top"/>
    </xf>
    <xf numFmtId="0" fontId="4" fillId="3" borderId="10" xfId="0" applyFont="1" applyFill="1" applyBorder="1" applyAlignment="1">
      <alignment horizontal="center" vertical="top"/>
    </xf>
    <xf numFmtId="0" fontId="4" fillId="3" borderId="0" xfId="0" applyFont="1" applyFill="1" applyAlignment="1">
      <alignment horizontal="center"/>
    </xf>
    <xf numFmtId="0" fontId="4" fillId="11" borderId="7" xfId="0" applyFont="1" applyFill="1" applyBorder="1" applyAlignment="1">
      <alignment horizontal="left"/>
    </xf>
    <xf numFmtId="0" fontId="16" fillId="3" borderId="0" xfId="0" applyFont="1" applyFill="1" applyAlignment="1">
      <alignment horizontal="center" vertical="top"/>
    </xf>
    <xf numFmtId="0" fontId="17" fillId="3" borderId="6" xfId="0" applyFont="1" applyFill="1" applyBorder="1" applyAlignment="1">
      <alignment horizontal="center" vertical="center"/>
    </xf>
    <xf numFmtId="0" fontId="18" fillId="3" borderId="0" xfId="0" applyFont="1" applyFill="1" applyBorder="1" applyAlignment="1">
      <alignment horizontal="center" vertical="center"/>
    </xf>
    <xf numFmtId="0" fontId="18" fillId="3" borderId="6" xfId="0" applyFont="1" applyFill="1" applyBorder="1" applyAlignment="1">
      <alignment horizontal="center" vertical="center"/>
    </xf>
    <xf numFmtId="0" fontId="4" fillId="3" borderId="7" xfId="0" applyFont="1" applyFill="1" applyBorder="1" applyAlignment="1">
      <alignment horizontal="left"/>
    </xf>
    <xf numFmtId="0" fontId="4" fillId="11" borderId="7" xfId="0" applyFont="1" applyFill="1" applyBorder="1" applyAlignment="1">
      <alignment horizontal="left" vertical="top"/>
    </xf>
    <xf numFmtId="0" fontId="4" fillId="10" borderId="7" xfId="0" applyFont="1" applyFill="1" applyBorder="1" applyAlignment="1">
      <alignment horizontal="left"/>
    </xf>
    <xf numFmtId="0" fontId="4" fillId="3" borderId="7" xfId="0" applyFont="1" applyFill="1" applyBorder="1" applyAlignment="1">
      <alignment horizontal="left" vertical="top"/>
    </xf>
    <xf numFmtId="0" fontId="4" fillId="3" borderId="8" xfId="0" applyFont="1" applyFill="1" applyBorder="1" applyAlignment="1">
      <alignment horizontal="left" vertical="top"/>
    </xf>
    <xf numFmtId="0" fontId="16" fillId="3" borderId="0" xfId="0" applyFont="1" applyFill="1" applyBorder="1" applyAlignment="1">
      <alignment horizontal="center" vertical="center"/>
    </xf>
    <xf numFmtId="0" fontId="16" fillId="3" borderId="9" xfId="0" applyFont="1" applyFill="1" applyBorder="1" applyAlignment="1">
      <alignment horizontal="center" vertical="center"/>
    </xf>
    <xf numFmtId="0" fontId="16" fillId="3" borderId="0" xfId="0" applyFont="1" applyFill="1" applyAlignment="1">
      <alignment horizontal="center" vertical="center"/>
    </xf>
    <xf numFmtId="0" fontId="4" fillId="3" borderId="0" xfId="0" applyFont="1" applyFill="1" applyAlignment="1">
      <alignment horizontal="center" vertical="top"/>
    </xf>
    <xf numFmtId="0" fontId="9" fillId="3" borderId="0" xfId="0" applyFont="1" applyFill="1" applyAlignment="1">
      <alignment horizontal="center"/>
    </xf>
    <xf numFmtId="0" fontId="9" fillId="3" borderId="6" xfId="0" applyFont="1" applyFill="1" applyBorder="1" applyAlignment="1">
      <alignment horizontal="center"/>
    </xf>
  </cellXfs>
  <cellStyles count="2">
    <cellStyle name="Hyperlink" xfId="1" builtinId="8"/>
    <cellStyle name="Normal" xfId="0" builtinId="0"/>
  </cellStyles>
  <dxfs count="208">
    <dxf>
      <numFmt numFmtId="165" formatCode="_ [$₹-4009]\ * #,##0_ ;_ [$₹-4009]\ * \-#,##0_ ;_ [$₹-4009]\ * &quot;-&quot;??_ ;_ @_ "/>
    </dxf>
    <dxf>
      <numFmt numFmtId="166" formatCode="_ [$₹-4009]\ * #,##0.0_ ;_ [$₹-4009]\ * \-#,##0.0_ ;_ [$₹-4009]\ * &quot;-&quot;??_ ;_ @_ "/>
    </dxf>
    <dxf>
      <numFmt numFmtId="164" formatCode="_ [$₹-4009]\ * #,##0.00_ ;_ [$₹-4009]\ * \-#,##0.00_ ;_ [$₹-4009]\ * &quot;-&quot;??_ ;_ @_ "/>
    </dxf>
    <dxf>
      <numFmt numFmtId="165" formatCode="_ [$₹-4009]\ * #,##0_ ;_ [$₹-4009]\ * \-#,##0_ ;_ [$₹-4009]\ * &quot;-&quot;??_ ;_ @_ "/>
    </dxf>
    <dxf>
      <numFmt numFmtId="166" formatCode="_ [$₹-4009]\ * #,##0.0_ ;_ [$₹-4009]\ * \-#,##0.0_ ;_ [$₹-4009]\ * &quot;-&quot;??_ ;_ @_ "/>
    </dxf>
    <dxf>
      <numFmt numFmtId="164" formatCode="_ [$₹-4009]\ * #,##0.00_ ;_ [$₹-4009]\ * \-#,##0.00_ ;_ [$₹-4009]\ * &quot;-&quot;??_ ;_ @_ "/>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ill>
        <patternFill patternType="solid">
          <bgColor theme="8" tint="0.79998168889431442"/>
        </patternFill>
      </fill>
    </dxf>
    <dxf>
      <fill>
        <patternFill patternType="solid">
          <bgColor theme="8" tint="0.79998168889431442"/>
        </patternFill>
      </fil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_ ;_ [$₹-4009]\ * \-#,##0_ ;_ [$₹-4009]\ * &quot;-&quot;??_ ;_ @_ "/>
    </dxf>
    <dxf>
      <numFmt numFmtId="166" formatCode="_ [$₹-4009]\ * #,##0.0_ ;_ [$₹-4009]\ * \-#,##0.0_ ;_ [$₹-4009]\ * &quot;-&quot;??_ ;_ @_ "/>
    </dxf>
    <dxf>
      <numFmt numFmtId="164" formatCode="_ [$₹-4009]\ * #,##0.00_ ;_ [$₹-4009]\ * \-#,##0.00_ ;_ [$₹-4009]\ * &quot;-&quot;??_ ;_ @_ "/>
    </dxf>
    <dxf>
      <fill>
        <patternFill patternType="solid">
          <bgColor theme="8" tint="0.79998168889431442"/>
        </patternFill>
      </fill>
    </dxf>
    <dxf>
      <fill>
        <patternFill patternType="solid">
          <bgColor theme="8" tint="0.7999816888943144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5" formatCode="_ [$₹-4009]\ * #,##0_ ;_ [$₹-4009]\ * \-#,##0_ ;_ [$₹-4009]\ * &quot;-&quot;??_ ;_ @_ "/>
    </dxf>
    <dxf>
      <numFmt numFmtId="166" formatCode="_ [$₹-4009]\ * #,##0.0_ ;_ [$₹-4009]\ * \-#,##0.0_ ;_ [$₹-4009]\ * &quot;-&quot;??_ ;_ @_ "/>
    </dxf>
    <dxf>
      <numFmt numFmtId="164" formatCode="_ [$₹-4009]\ * #,##0.00_ ;_ [$₹-4009]\ * \-#,##0.00_ ;_ [$₹-4009]\ * &quot;-&quot;??_ ;_ @_ "/>
    </dxf>
    <dxf>
      <fill>
        <patternFill patternType="solid">
          <bgColor theme="8" tint="0.79998168889431442"/>
        </patternFill>
      </fill>
    </dxf>
    <dxf>
      <fill>
        <patternFill patternType="solid">
          <bgColor theme="8" tint="0.7999816888943144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_ [$₹-4009]\ * #,##0_ ;_ [$₹-4009]\ * \-#,##0_ ;_ [$₹-4009]\ * &quot;-&quot;??_ ;_ @_ "/>
    </dxf>
    <dxf>
      <numFmt numFmtId="166" formatCode="_ [$₹-4009]\ * #,##0.0_ ;_ [$₹-4009]\ * \-#,##0.0_ ;_ [$₹-4009]\ * &quot;-&quot;??_ ;_ @_ "/>
    </dxf>
    <dxf>
      <numFmt numFmtId="164" formatCode="_ [$₹-4009]\ * #,##0.00_ ;_ [$₹-4009]\ * \-#,##0.00_ ;_ [$₹-4009]\ * &quot;-&quot;??_ ;_ @_ "/>
    </dxf>
    <dxf>
      <numFmt numFmtId="165" formatCode="_ [$₹-4009]\ * #,##0_ ;_ [$₹-4009]\ * \-#,##0_ ;_ [$₹-4009]\ * &quot;-&quot;??_ ;_ @_ "/>
    </dxf>
    <dxf>
      <numFmt numFmtId="166" formatCode="_ [$₹-4009]\ * #,##0.0_ ;_ [$₹-4009]\ * \-#,##0.0_ ;_ [$₹-4009]\ * &quot;-&quot;??_ ;_ @_ "/>
    </dxf>
    <dxf>
      <numFmt numFmtId="164" formatCode="_ [$₹-4009]\ * #,##0.00_ ;_ [$₹-4009]\ * \-#,##0.00_ ;_ [$₹-4009]\ * &quot;-&quot;??_ ;_ @_ "/>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ill>
        <patternFill patternType="solid">
          <bgColor theme="8" tint="0.79998168889431442"/>
        </patternFill>
      </fill>
    </dxf>
    <dxf>
      <fill>
        <patternFill patternType="solid">
          <bgColor theme="8" tint="0.79998168889431442"/>
        </patternFill>
      </fil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FF0000"/>
        </patternFill>
      </fill>
    </dxf>
    <dxf>
      <numFmt numFmtId="165" formatCode="_ [$₹-4009]\ * #,##0_ ;_ [$₹-4009]\ * \-#,##0_ ;_ [$₹-4009]\ * &quot;-&quot;??_ ;_ @_ "/>
    </dxf>
    <dxf>
      <numFmt numFmtId="166" formatCode="_ [$₹-4009]\ * #,##0.0_ ;_ [$₹-4009]\ * \-#,##0.0_ ;_ [$₹-4009]\ * &quot;-&quot;??_ ;_ @_ "/>
    </dxf>
    <dxf>
      <numFmt numFmtId="164" formatCode="_ [$₹-4009]\ * #,##0.00_ ;_ [$₹-4009]\ * \-#,##0.00_ ;_ [$₹-4009]\ * &quot;-&quot;??_ ;_ @_ "/>
    </dxf>
    <dxf>
      <fill>
        <patternFill patternType="solid">
          <bgColor theme="8" tint="0.79998168889431442"/>
        </patternFill>
      </fill>
    </dxf>
    <dxf>
      <fill>
        <patternFill patternType="solid">
          <bgColor theme="8" tint="0.7999816888943144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5" formatCode="_ [$₹-4009]\ * #,##0_ ;_ [$₹-4009]\ * \-#,##0_ ;_ [$₹-4009]\ * &quot;-&quot;??_ ;_ @_ "/>
    </dxf>
    <dxf>
      <numFmt numFmtId="166" formatCode="_ [$₹-4009]\ * #,##0.0_ ;_ [$₹-4009]\ * \-#,##0.0_ ;_ [$₹-4009]\ * &quot;-&quot;??_ ;_ @_ "/>
    </dxf>
    <dxf>
      <numFmt numFmtId="164" formatCode="_ [$₹-4009]\ * #,##0.00_ ;_ [$₹-4009]\ * \-#,##0.00_ ;_ [$₹-4009]\ * &quot;-&quot;??_ ;_ @_ "/>
    </dxf>
    <dxf>
      <fill>
        <patternFill patternType="solid">
          <bgColor theme="8" tint="0.79998168889431442"/>
        </patternFill>
      </fill>
    </dxf>
    <dxf>
      <fill>
        <patternFill patternType="solid">
          <bgColor theme="8" tint="0.7999816888943144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trike val="0"/>
        <outline val="0"/>
        <shadow val="0"/>
        <u val="none"/>
        <vertAlign val="baseline"/>
        <sz val="11"/>
        <color theme="1"/>
        <name val="Times New Roman"/>
        <scheme val="none"/>
      </font>
      <numFmt numFmtId="0" formatCode="General"/>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numFmt numFmtId="0" formatCode="General"/>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numFmt numFmtId="0" formatCode="General"/>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numFmt numFmtId="0" formatCode="General"/>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numFmt numFmtId="0" formatCode="General"/>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numFmt numFmtId="0" formatCode="General"/>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numFmt numFmtId="0" formatCode="General"/>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numFmt numFmtId="167" formatCode="dd/mm/yyyy"/>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numFmt numFmtId="0" formatCode="General"/>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scheme val="none"/>
      </font>
      <fill>
        <patternFill patternType="solid">
          <fgColor indexed="64"/>
          <bgColor theme="8" tint="0.79998168889431442"/>
        </patternFill>
      </fill>
      <alignment horizontal="center" vertical="bottom" textRotation="0" wrapText="0" indent="0" justifyLastLine="0" shrinkToFit="0" readingOrder="0"/>
    </dxf>
    <dxf>
      <font>
        <strike val="0"/>
        <outline val="0"/>
        <shadow val="0"/>
        <u val="none"/>
        <vertAlign val="baseline"/>
        <sz val="11"/>
        <color theme="1"/>
        <name val="Times New Roman"/>
        <scheme val="none"/>
      </font>
      <fill>
        <patternFill patternType="solid">
          <fgColor indexed="64"/>
          <bgColor theme="4" tint="-0.499984740745262"/>
        </patternFill>
      </fill>
      <alignment horizontal="center" vertical="bottom" textRotation="0" wrapText="0" indent="0" justifyLastLine="0" shrinkToFit="0" readingOrder="0"/>
    </dxf>
  </dxfs>
  <tableStyles count="0" defaultTableStyle="TableStyleMedium2" defaultPivotStyle="PivotStyleLight16"/>
  <colors>
    <mruColors>
      <color rgb="FFCC99FF"/>
      <color rgb="FFEE0000"/>
      <color rgb="FFFF0000"/>
      <color rgb="FFCC00CC"/>
      <color rgb="FFCCFF33"/>
      <color rgb="FF004600"/>
      <color rgb="FF15210D"/>
      <color rgb="FF00B8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&amp; BUDGET PLANNER.xlsx]Income Pivot Table!PivotTable1</c:name>
    <c:fmtId val="0"/>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'Income Pivot Table'!$B$3</c:f>
              <c:strCache>
                <c:ptCount val="1"/>
                <c:pt idx="0">
                  <c:v>Total</c:v>
                </c:pt>
              </c:strCache>
            </c:strRef>
          </c:tx>
          <c:spPr>
            <a:ln w="28575" cap="rnd">
              <a:solidFill>
                <a:schemeClr val="accent1"/>
              </a:solidFill>
              <a:round/>
            </a:ln>
            <a:effectLst/>
          </c:spPr>
          <c:marker>
            <c:symbol val="none"/>
          </c:marker>
          <c:cat>
            <c:strRef>
              <c:f>'Income 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'Income Pivot Table'!$B$4:$B$16</c:f>
              <c:numCache>
                <c:formatCode>_ [$₹-4009]\ * #,##0_ ;_ [$₹-4009]\ * \-#,##0_ ;_ [$₹-4009]\ * "-"??_ ;_ @_ </c:formatCode>
                <c:ptCount val="12"/>
                <c:pt idx="0">
                  <c:v>605000</c:v>
                </c:pt>
                <c:pt idx="1">
                  <c:v>681000</c:v>
                </c:pt>
                <c:pt idx="2">
                  <c:v>570000</c:v>
                </c:pt>
                <c:pt idx="3">
                  <c:v>817000</c:v>
                </c:pt>
                <c:pt idx="4">
                  <c:v>552000</c:v>
                </c:pt>
                <c:pt idx="5">
                  <c:v>639000</c:v>
                </c:pt>
                <c:pt idx="6">
                  <c:v>731000</c:v>
                </c:pt>
                <c:pt idx="7">
                  <c:v>630000</c:v>
                </c:pt>
                <c:pt idx="8">
                  <c:v>661000</c:v>
                </c:pt>
                <c:pt idx="9">
                  <c:v>465000</c:v>
                </c:pt>
                <c:pt idx="10">
                  <c:v>825000</c:v>
                </c:pt>
                <c:pt idx="11">
                  <c:v>695000</c:v>
                </c:pt>
              </c:numCache>
            </c:numRef>
          </c:val>
          <c:smooth val="1"/>
          <c:extLst>
            <c:ext xmlns:c16="http://schemas.microsoft.com/office/drawing/2014/chart" uri="{C3380CC4-5D6E-409C-BE32-E72D297353CC}">
              <c16:uniqueId val="{00000001-0912-4786-9CC5-68172003892C}"/>
            </c:ext>
          </c:extLst>
        </c:ser>
        <c:dLbls>
          <c:showLegendKey val="0"/>
          <c:showVal val="0"/>
          <c:showCatName val="0"/>
          <c:showSerName val="0"/>
          <c:showPercent val="0"/>
          <c:showBubbleSize val="0"/>
        </c:dLbls>
        <c:smooth val="0"/>
        <c:axId val="1662925104"/>
        <c:axId val="1662923024"/>
      </c:lineChart>
      <c:catAx>
        <c:axId val="166292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62923024"/>
        <c:crosses val="autoZero"/>
        <c:auto val="1"/>
        <c:lblAlgn val="ctr"/>
        <c:lblOffset val="100"/>
        <c:noMultiLvlLbl val="0"/>
      </c:catAx>
      <c:valAx>
        <c:axId val="166292302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62925104"/>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&amp; BUDGET PLANNER.xlsx]Expense Pivot Table!PivotTable2</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'Expense Pivot Table'!$B$3</c:f>
              <c:strCache>
                <c:ptCount val="1"/>
                <c:pt idx="0">
                  <c:v>Total</c:v>
                </c:pt>
              </c:strCache>
            </c:strRef>
          </c:tx>
          <c:spPr>
            <a:solidFill>
              <a:schemeClr val="accent1"/>
            </a:solidFill>
            <a:ln>
              <a:noFill/>
            </a:ln>
            <a:effectLst/>
          </c:spPr>
          <c:invertIfNegative val="0"/>
          <c:cat>
            <c:strRef>
              <c:f>'Expense Pivot Table'!$A$4:$A$16</c:f>
              <c:strCache>
                <c:ptCount val="12"/>
                <c:pt idx="0">
                  <c:v>Education</c:v>
                </c:pt>
                <c:pt idx="1">
                  <c:v>Entertainment</c:v>
                </c:pt>
                <c:pt idx="2">
                  <c:v>Food</c:v>
                </c:pt>
                <c:pt idx="3">
                  <c:v>Groceries</c:v>
                </c:pt>
                <c:pt idx="4">
                  <c:v>Healthcare</c:v>
                </c:pt>
                <c:pt idx="5">
                  <c:v>Investment</c:v>
                </c:pt>
                <c:pt idx="6">
                  <c:v>Rent</c:v>
                </c:pt>
                <c:pt idx="7">
                  <c:v>Shopping</c:v>
                </c:pt>
                <c:pt idx="8">
                  <c:v>Transport</c:v>
                </c:pt>
                <c:pt idx="9">
                  <c:v>Travel</c:v>
                </c:pt>
                <c:pt idx="10">
                  <c:v>Unknown</c:v>
                </c:pt>
                <c:pt idx="11">
                  <c:v>Utilities</c:v>
                </c:pt>
              </c:strCache>
            </c:strRef>
          </c:cat>
          <c:val>
            <c:numRef>
              <c:f>'Expense Pivot Table'!$B$4:$B$16</c:f>
              <c:numCache>
                <c:formatCode>_ [$₹-4009]\ * #,##0_ ;_ [$₹-4009]\ * \-#,##0_ ;_ [$₹-4009]\ * "-"??_ ;_ @_ </c:formatCode>
                <c:ptCount val="12"/>
                <c:pt idx="0">
                  <c:v>19800</c:v>
                </c:pt>
                <c:pt idx="1">
                  <c:v>22300</c:v>
                </c:pt>
                <c:pt idx="2">
                  <c:v>37400</c:v>
                </c:pt>
                <c:pt idx="3">
                  <c:v>38500</c:v>
                </c:pt>
                <c:pt idx="4">
                  <c:v>42100</c:v>
                </c:pt>
                <c:pt idx="5">
                  <c:v>183000</c:v>
                </c:pt>
                <c:pt idx="6">
                  <c:v>291500</c:v>
                </c:pt>
                <c:pt idx="7">
                  <c:v>39000</c:v>
                </c:pt>
                <c:pt idx="8">
                  <c:v>13900</c:v>
                </c:pt>
                <c:pt idx="9">
                  <c:v>29900</c:v>
                </c:pt>
                <c:pt idx="10">
                  <c:v>35100</c:v>
                </c:pt>
                <c:pt idx="11">
                  <c:v>26500</c:v>
                </c:pt>
              </c:numCache>
            </c:numRef>
          </c:val>
          <c:extLst>
            <c:ext xmlns:c16="http://schemas.microsoft.com/office/drawing/2014/chart" uri="{C3380CC4-5D6E-409C-BE32-E72D297353CC}">
              <c16:uniqueId val="{00000001-664A-4C8A-A61C-D1C0F73F1BB9}"/>
            </c:ext>
          </c:extLst>
        </c:ser>
        <c:dLbls>
          <c:showLegendKey val="0"/>
          <c:showVal val="0"/>
          <c:showCatName val="0"/>
          <c:showSerName val="0"/>
          <c:showPercent val="0"/>
          <c:showBubbleSize val="0"/>
        </c:dLbls>
        <c:gapWidth val="219"/>
        <c:overlap val="-27"/>
        <c:axId val="70498143"/>
        <c:axId val="70495231"/>
      </c:barChart>
      <c:catAx>
        <c:axId val="7049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0495231"/>
        <c:crosses val="autoZero"/>
        <c:auto val="1"/>
        <c:lblAlgn val="ctr"/>
        <c:lblOffset val="100"/>
        <c:noMultiLvlLbl val="0"/>
      </c:catAx>
      <c:valAx>
        <c:axId val="70495231"/>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0498143"/>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&amp; BUDGET PLANNER.xlsx]Budget Pivot Table!PivotTable3</c:name>
    <c:fmtId val="6"/>
  </c:pivotSource>
  <c:chart>
    <c:autoTitleDeleted val="0"/>
    <c:pivotFmts>
      <c:pivotFmt>
        <c:idx val="0"/>
        <c:spPr>
          <a:solidFill>
            <a:schemeClr val="accent1"/>
          </a:solidFill>
          <a:ln>
            <a:noFill/>
          </a:ln>
          <a:effectLst/>
        </c:spPr>
        <c:marker>
          <c:symbol val="none"/>
        </c:marker>
      </c:pivotFmt>
      <c:pivotFmt>
        <c:idx val="1"/>
        <c:spPr>
          <a:solidFill>
            <a:srgbClr val="FF0000"/>
          </a:solidFill>
          <a:ln>
            <a:noFill/>
          </a:ln>
          <a:effectLst/>
        </c:spPr>
        <c:marker>
          <c:symbol val="none"/>
        </c:marker>
      </c:pivotFmt>
    </c:pivotFmts>
    <c:plotArea>
      <c:layout/>
      <c:barChart>
        <c:barDir val="bar"/>
        <c:grouping val="clustered"/>
        <c:varyColors val="0"/>
        <c:ser>
          <c:idx val="0"/>
          <c:order val="0"/>
          <c:tx>
            <c:strRef>
              <c:f>'Budget Pivot Table'!$B$3</c:f>
              <c:strCache>
                <c:ptCount val="1"/>
                <c:pt idx="0">
                  <c:v>Sum of Monthly Budget</c:v>
                </c:pt>
              </c:strCache>
            </c:strRef>
          </c:tx>
          <c:spPr>
            <a:solidFill>
              <a:schemeClr val="accent1"/>
            </a:solidFill>
            <a:ln>
              <a:noFill/>
            </a:ln>
            <a:effectLst/>
          </c:spPr>
          <c:invertIfNegative val="0"/>
          <c:cat>
            <c:strRef>
              <c:f>'Budget Pivot Table'!$A$4:$A$14</c:f>
              <c:strCache>
                <c:ptCount val="10"/>
                <c:pt idx="0">
                  <c:v>Education</c:v>
                </c:pt>
                <c:pt idx="1">
                  <c:v>Entertainment</c:v>
                </c:pt>
                <c:pt idx="2">
                  <c:v>Food</c:v>
                </c:pt>
                <c:pt idx="3">
                  <c:v>Groceries</c:v>
                </c:pt>
                <c:pt idx="4">
                  <c:v>Healthcare</c:v>
                </c:pt>
                <c:pt idx="5">
                  <c:v>Investment</c:v>
                </c:pt>
                <c:pt idx="6">
                  <c:v>Rent</c:v>
                </c:pt>
                <c:pt idx="7">
                  <c:v>Shopping</c:v>
                </c:pt>
                <c:pt idx="8">
                  <c:v>Transport</c:v>
                </c:pt>
                <c:pt idx="9">
                  <c:v>Utilities</c:v>
                </c:pt>
              </c:strCache>
            </c:strRef>
          </c:cat>
          <c:val>
            <c:numRef>
              <c:f>'Budget Pivot Table'!$B$4:$B$14</c:f>
              <c:numCache>
                <c:formatCode>_ [$₹-4009]\ * #,##0_ ;_ [$₹-4009]\ * \-#,##0_ ;_ [$₹-4009]\ * "-"??_ ;_ @_ </c:formatCode>
                <c:ptCount val="10"/>
                <c:pt idx="0">
                  <c:v>30000</c:v>
                </c:pt>
                <c:pt idx="1">
                  <c:v>40000</c:v>
                </c:pt>
                <c:pt idx="2">
                  <c:v>45000</c:v>
                </c:pt>
                <c:pt idx="3">
                  <c:v>30000</c:v>
                </c:pt>
                <c:pt idx="4">
                  <c:v>70000</c:v>
                </c:pt>
                <c:pt idx="5">
                  <c:v>350000</c:v>
                </c:pt>
                <c:pt idx="6">
                  <c:v>350000</c:v>
                </c:pt>
                <c:pt idx="7">
                  <c:v>90000</c:v>
                </c:pt>
                <c:pt idx="8">
                  <c:v>30000</c:v>
                </c:pt>
                <c:pt idx="9">
                  <c:v>30000</c:v>
                </c:pt>
              </c:numCache>
            </c:numRef>
          </c:val>
          <c:extLst>
            <c:ext xmlns:c16="http://schemas.microsoft.com/office/drawing/2014/chart" uri="{C3380CC4-5D6E-409C-BE32-E72D297353CC}">
              <c16:uniqueId val="{00000000-243E-45F0-83B1-96CF3B0A73D7}"/>
            </c:ext>
          </c:extLst>
        </c:ser>
        <c:ser>
          <c:idx val="1"/>
          <c:order val="1"/>
          <c:tx>
            <c:strRef>
              <c:f>'Budget Pivot Table'!$C$3</c:f>
              <c:strCache>
                <c:ptCount val="1"/>
                <c:pt idx="0">
                  <c:v>Sum of Actual Expense</c:v>
                </c:pt>
              </c:strCache>
            </c:strRef>
          </c:tx>
          <c:spPr>
            <a:solidFill>
              <a:srgbClr val="FF0000"/>
            </a:solidFill>
            <a:ln>
              <a:noFill/>
            </a:ln>
            <a:effectLst/>
          </c:spPr>
          <c:invertIfNegative val="0"/>
          <c:cat>
            <c:strRef>
              <c:f>'Budget Pivot Table'!$A$4:$A$14</c:f>
              <c:strCache>
                <c:ptCount val="10"/>
                <c:pt idx="0">
                  <c:v>Education</c:v>
                </c:pt>
                <c:pt idx="1">
                  <c:v>Entertainment</c:v>
                </c:pt>
                <c:pt idx="2">
                  <c:v>Food</c:v>
                </c:pt>
                <c:pt idx="3">
                  <c:v>Groceries</c:v>
                </c:pt>
                <c:pt idx="4">
                  <c:v>Healthcare</c:v>
                </c:pt>
                <c:pt idx="5">
                  <c:v>Investment</c:v>
                </c:pt>
                <c:pt idx="6">
                  <c:v>Rent</c:v>
                </c:pt>
                <c:pt idx="7">
                  <c:v>Shopping</c:v>
                </c:pt>
                <c:pt idx="8">
                  <c:v>Transport</c:v>
                </c:pt>
                <c:pt idx="9">
                  <c:v>Utilities</c:v>
                </c:pt>
              </c:strCache>
            </c:strRef>
          </c:cat>
          <c:val>
            <c:numRef>
              <c:f>'Budget Pivot Table'!$C$4:$C$14</c:f>
              <c:numCache>
                <c:formatCode>_ [$₹-4009]\ * #,##0_ ;_ [$₹-4009]\ * \-#,##0_ ;_ [$₹-4009]\ * "-"??_ ;_ @_ </c:formatCode>
                <c:ptCount val="10"/>
                <c:pt idx="0">
                  <c:v>23700</c:v>
                </c:pt>
                <c:pt idx="1">
                  <c:v>34000</c:v>
                </c:pt>
                <c:pt idx="2">
                  <c:v>41300</c:v>
                </c:pt>
                <c:pt idx="3">
                  <c:v>38500</c:v>
                </c:pt>
                <c:pt idx="4">
                  <c:v>56000</c:v>
                </c:pt>
                <c:pt idx="5">
                  <c:v>344000</c:v>
                </c:pt>
                <c:pt idx="6">
                  <c:v>327000</c:v>
                </c:pt>
                <c:pt idx="7">
                  <c:v>78900</c:v>
                </c:pt>
                <c:pt idx="8">
                  <c:v>23100</c:v>
                </c:pt>
                <c:pt idx="9">
                  <c:v>44800</c:v>
                </c:pt>
              </c:numCache>
            </c:numRef>
          </c:val>
          <c:extLst>
            <c:ext xmlns:c16="http://schemas.microsoft.com/office/drawing/2014/chart" uri="{C3380CC4-5D6E-409C-BE32-E72D297353CC}">
              <c16:uniqueId val="{00000001-243E-45F0-83B1-96CF3B0A73D7}"/>
            </c:ext>
          </c:extLst>
        </c:ser>
        <c:dLbls>
          <c:showLegendKey val="0"/>
          <c:showVal val="0"/>
          <c:showCatName val="0"/>
          <c:showSerName val="0"/>
          <c:showPercent val="0"/>
          <c:showBubbleSize val="0"/>
        </c:dLbls>
        <c:gapWidth val="182"/>
        <c:axId val="1751969983"/>
        <c:axId val="1645447055"/>
      </c:barChart>
      <c:catAx>
        <c:axId val="1751969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45447055"/>
        <c:crosses val="autoZero"/>
        <c:auto val="1"/>
        <c:lblAlgn val="ctr"/>
        <c:lblOffset val="100"/>
        <c:noMultiLvlLbl val="0"/>
      </c:catAx>
      <c:valAx>
        <c:axId val="1645447055"/>
        <c:scaling>
          <c:orientation val="minMax"/>
        </c:scaling>
        <c:delete val="0"/>
        <c:axPos val="b"/>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51969983"/>
        <c:crosses val="autoZero"/>
        <c:crossBetween val="between"/>
      </c:valAx>
      <c:spPr>
        <a:noFill/>
        <a:ln w="25400">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&amp; BUDGET PLANNER.xlsx]Income Pivot Table!PivotTable1</c:name>
    <c:fmtId val="1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'Income Pivot Table'!$B$3</c:f>
              <c:strCache>
                <c:ptCount val="1"/>
                <c:pt idx="0">
                  <c:v>Total</c:v>
                </c:pt>
              </c:strCache>
            </c:strRef>
          </c:tx>
          <c:spPr>
            <a:ln w="28575" cap="rnd">
              <a:solidFill>
                <a:schemeClr val="accent1"/>
              </a:solidFill>
              <a:round/>
            </a:ln>
            <a:effectLst/>
          </c:spPr>
          <c:marker>
            <c:symbol val="none"/>
          </c:marker>
          <c:cat>
            <c:strRef>
              <c:f>'Income 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'Income Pivot Table'!$B$4:$B$16</c:f>
              <c:numCache>
                <c:formatCode>_ [$₹-4009]\ * #,##0_ ;_ [$₹-4009]\ * \-#,##0_ ;_ [$₹-4009]\ * "-"??_ ;_ @_ </c:formatCode>
                <c:ptCount val="12"/>
                <c:pt idx="0">
                  <c:v>605000</c:v>
                </c:pt>
                <c:pt idx="1">
                  <c:v>681000</c:v>
                </c:pt>
                <c:pt idx="2">
                  <c:v>570000</c:v>
                </c:pt>
                <c:pt idx="3">
                  <c:v>817000</c:v>
                </c:pt>
                <c:pt idx="4">
                  <c:v>552000</c:v>
                </c:pt>
                <c:pt idx="5">
                  <c:v>639000</c:v>
                </c:pt>
                <c:pt idx="6">
                  <c:v>731000</c:v>
                </c:pt>
                <c:pt idx="7">
                  <c:v>630000</c:v>
                </c:pt>
                <c:pt idx="8">
                  <c:v>661000</c:v>
                </c:pt>
                <c:pt idx="9">
                  <c:v>465000</c:v>
                </c:pt>
                <c:pt idx="10">
                  <c:v>825000</c:v>
                </c:pt>
                <c:pt idx="11">
                  <c:v>695000</c:v>
                </c:pt>
              </c:numCache>
            </c:numRef>
          </c:val>
          <c:smooth val="1"/>
          <c:extLst>
            <c:ext xmlns:c16="http://schemas.microsoft.com/office/drawing/2014/chart" uri="{C3380CC4-5D6E-409C-BE32-E72D297353CC}">
              <c16:uniqueId val="{00000000-51E7-4C54-B9DE-713E6FEEAAAB}"/>
            </c:ext>
          </c:extLst>
        </c:ser>
        <c:dLbls>
          <c:showLegendKey val="0"/>
          <c:showVal val="0"/>
          <c:showCatName val="0"/>
          <c:showSerName val="0"/>
          <c:showPercent val="0"/>
          <c:showBubbleSize val="0"/>
        </c:dLbls>
        <c:smooth val="0"/>
        <c:axId val="1662925104"/>
        <c:axId val="1662923024"/>
      </c:lineChart>
      <c:catAx>
        <c:axId val="166292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62923024"/>
        <c:crosses val="autoZero"/>
        <c:auto val="1"/>
        <c:lblAlgn val="ctr"/>
        <c:lblOffset val="100"/>
        <c:noMultiLvlLbl val="0"/>
      </c:catAx>
      <c:valAx>
        <c:axId val="166292302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62925104"/>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&amp; BUDGET PLANNER.xlsx]Expense Pivot Table!PivotTable2</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'Expense Pivot Table'!$B$3</c:f>
              <c:strCache>
                <c:ptCount val="1"/>
                <c:pt idx="0">
                  <c:v>Total</c:v>
                </c:pt>
              </c:strCache>
            </c:strRef>
          </c:tx>
          <c:spPr>
            <a:solidFill>
              <a:schemeClr val="accent1"/>
            </a:solidFill>
            <a:ln>
              <a:noFill/>
            </a:ln>
            <a:effectLst/>
          </c:spPr>
          <c:invertIfNegative val="0"/>
          <c:cat>
            <c:strRef>
              <c:f>'Expense Pivot Table'!$A$4:$A$16</c:f>
              <c:strCache>
                <c:ptCount val="12"/>
                <c:pt idx="0">
                  <c:v>Education</c:v>
                </c:pt>
                <c:pt idx="1">
                  <c:v>Entertainment</c:v>
                </c:pt>
                <c:pt idx="2">
                  <c:v>Food</c:v>
                </c:pt>
                <c:pt idx="3">
                  <c:v>Groceries</c:v>
                </c:pt>
                <c:pt idx="4">
                  <c:v>Healthcare</c:v>
                </c:pt>
                <c:pt idx="5">
                  <c:v>Investment</c:v>
                </c:pt>
                <c:pt idx="6">
                  <c:v>Rent</c:v>
                </c:pt>
                <c:pt idx="7">
                  <c:v>Shopping</c:v>
                </c:pt>
                <c:pt idx="8">
                  <c:v>Transport</c:v>
                </c:pt>
                <c:pt idx="9">
                  <c:v>Travel</c:v>
                </c:pt>
                <c:pt idx="10">
                  <c:v>Unknown</c:v>
                </c:pt>
                <c:pt idx="11">
                  <c:v>Utilities</c:v>
                </c:pt>
              </c:strCache>
            </c:strRef>
          </c:cat>
          <c:val>
            <c:numRef>
              <c:f>'Expense Pivot Table'!$B$4:$B$16</c:f>
              <c:numCache>
                <c:formatCode>_ [$₹-4009]\ * #,##0_ ;_ [$₹-4009]\ * \-#,##0_ ;_ [$₹-4009]\ * "-"??_ ;_ @_ </c:formatCode>
                <c:ptCount val="12"/>
                <c:pt idx="0">
                  <c:v>19800</c:v>
                </c:pt>
                <c:pt idx="1">
                  <c:v>22300</c:v>
                </c:pt>
                <c:pt idx="2">
                  <c:v>37400</c:v>
                </c:pt>
                <c:pt idx="3">
                  <c:v>38500</c:v>
                </c:pt>
                <c:pt idx="4">
                  <c:v>42100</c:v>
                </c:pt>
                <c:pt idx="5">
                  <c:v>183000</c:v>
                </c:pt>
                <c:pt idx="6">
                  <c:v>291500</c:v>
                </c:pt>
                <c:pt idx="7">
                  <c:v>39000</c:v>
                </c:pt>
                <c:pt idx="8">
                  <c:v>13900</c:v>
                </c:pt>
                <c:pt idx="9">
                  <c:v>29900</c:v>
                </c:pt>
                <c:pt idx="10">
                  <c:v>35100</c:v>
                </c:pt>
                <c:pt idx="11">
                  <c:v>26500</c:v>
                </c:pt>
              </c:numCache>
            </c:numRef>
          </c:val>
          <c:extLst>
            <c:ext xmlns:c16="http://schemas.microsoft.com/office/drawing/2014/chart" uri="{C3380CC4-5D6E-409C-BE32-E72D297353CC}">
              <c16:uniqueId val="{00000000-4F90-413B-9CC2-76EB7C822A23}"/>
            </c:ext>
          </c:extLst>
        </c:ser>
        <c:dLbls>
          <c:showLegendKey val="0"/>
          <c:showVal val="0"/>
          <c:showCatName val="0"/>
          <c:showSerName val="0"/>
          <c:showPercent val="0"/>
          <c:showBubbleSize val="0"/>
        </c:dLbls>
        <c:gapWidth val="219"/>
        <c:overlap val="-27"/>
        <c:axId val="70498143"/>
        <c:axId val="70495231"/>
      </c:barChart>
      <c:catAx>
        <c:axId val="7049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0495231"/>
        <c:crosses val="autoZero"/>
        <c:auto val="1"/>
        <c:lblAlgn val="ctr"/>
        <c:lblOffset val="100"/>
        <c:noMultiLvlLbl val="0"/>
      </c:catAx>
      <c:valAx>
        <c:axId val="70495231"/>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0498143"/>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&amp; BUDGET PLANNER.xlsx]Budget Pivot Table!PivotTable3</c:name>
    <c:fmtId val="11"/>
  </c:pivotSource>
  <c:chart>
    <c:autoTitleDeleted val="0"/>
    <c:pivotFmts>
      <c:pivotFmt>
        <c:idx val="0"/>
        <c:spPr>
          <a:solidFill>
            <a:schemeClr val="accent1"/>
          </a:solidFill>
          <a:ln>
            <a:noFill/>
          </a:ln>
          <a:effectLst/>
        </c:spPr>
        <c:marker>
          <c:symbol val="none"/>
        </c:marker>
      </c:pivotFmt>
      <c:pivotFmt>
        <c:idx val="1"/>
        <c:spPr>
          <a:solidFill>
            <a:srgbClr val="FF0000"/>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FF0000"/>
          </a:solidFill>
          <a:ln>
            <a:noFill/>
          </a:ln>
          <a:effectLst/>
        </c:spPr>
        <c:marker>
          <c:symbol val="none"/>
        </c:marker>
      </c:pivotFmt>
      <c:pivotFmt>
        <c:idx val="4"/>
        <c:spPr>
          <a:solidFill>
            <a:schemeClr val="accent1"/>
          </a:solidFill>
          <a:ln>
            <a:noFill/>
          </a:ln>
          <a:effectLst/>
        </c:spPr>
        <c:marker>
          <c:symbol val="none"/>
        </c:marker>
      </c:pivotFmt>
      <c:pivotFmt>
        <c:idx val="5"/>
        <c:spPr>
          <a:solidFill>
            <a:srgbClr val="FF0000"/>
          </a:solidFill>
          <a:ln>
            <a:noFill/>
          </a:ln>
          <a:effectLst/>
        </c:spPr>
        <c:marker>
          <c:symbol val="none"/>
        </c:marker>
      </c:pivotFmt>
    </c:pivotFmts>
    <c:plotArea>
      <c:layout/>
      <c:barChart>
        <c:barDir val="bar"/>
        <c:grouping val="clustered"/>
        <c:varyColors val="0"/>
        <c:ser>
          <c:idx val="0"/>
          <c:order val="0"/>
          <c:tx>
            <c:strRef>
              <c:f>'Budget Pivot Table'!$B$3</c:f>
              <c:strCache>
                <c:ptCount val="1"/>
                <c:pt idx="0">
                  <c:v>Sum of Monthly Budget</c:v>
                </c:pt>
              </c:strCache>
            </c:strRef>
          </c:tx>
          <c:spPr>
            <a:solidFill>
              <a:schemeClr val="accent1"/>
            </a:solidFill>
            <a:ln>
              <a:noFill/>
            </a:ln>
            <a:effectLst/>
          </c:spPr>
          <c:invertIfNegative val="0"/>
          <c:cat>
            <c:strRef>
              <c:f>'Budget Pivot Table'!$A$4:$A$14</c:f>
              <c:strCache>
                <c:ptCount val="10"/>
                <c:pt idx="0">
                  <c:v>Education</c:v>
                </c:pt>
                <c:pt idx="1">
                  <c:v>Entertainment</c:v>
                </c:pt>
                <c:pt idx="2">
                  <c:v>Food</c:v>
                </c:pt>
                <c:pt idx="3">
                  <c:v>Groceries</c:v>
                </c:pt>
                <c:pt idx="4">
                  <c:v>Healthcare</c:v>
                </c:pt>
                <c:pt idx="5">
                  <c:v>Investment</c:v>
                </c:pt>
                <c:pt idx="6">
                  <c:v>Rent</c:v>
                </c:pt>
                <c:pt idx="7">
                  <c:v>Shopping</c:v>
                </c:pt>
                <c:pt idx="8">
                  <c:v>Transport</c:v>
                </c:pt>
                <c:pt idx="9">
                  <c:v>Utilities</c:v>
                </c:pt>
              </c:strCache>
            </c:strRef>
          </c:cat>
          <c:val>
            <c:numRef>
              <c:f>'Budget Pivot Table'!$B$4:$B$14</c:f>
              <c:numCache>
                <c:formatCode>_ [$₹-4009]\ * #,##0_ ;_ [$₹-4009]\ * \-#,##0_ ;_ [$₹-4009]\ * "-"??_ ;_ @_ </c:formatCode>
                <c:ptCount val="10"/>
                <c:pt idx="0">
                  <c:v>30000</c:v>
                </c:pt>
                <c:pt idx="1">
                  <c:v>40000</c:v>
                </c:pt>
                <c:pt idx="2">
                  <c:v>45000</c:v>
                </c:pt>
                <c:pt idx="3">
                  <c:v>30000</c:v>
                </c:pt>
                <c:pt idx="4">
                  <c:v>70000</c:v>
                </c:pt>
                <c:pt idx="5">
                  <c:v>350000</c:v>
                </c:pt>
                <c:pt idx="6">
                  <c:v>350000</c:v>
                </c:pt>
                <c:pt idx="7">
                  <c:v>90000</c:v>
                </c:pt>
                <c:pt idx="8">
                  <c:v>30000</c:v>
                </c:pt>
                <c:pt idx="9">
                  <c:v>30000</c:v>
                </c:pt>
              </c:numCache>
            </c:numRef>
          </c:val>
          <c:extLst>
            <c:ext xmlns:c16="http://schemas.microsoft.com/office/drawing/2014/chart" uri="{C3380CC4-5D6E-409C-BE32-E72D297353CC}">
              <c16:uniqueId val="{00000000-D349-421D-8018-9090399286D6}"/>
            </c:ext>
          </c:extLst>
        </c:ser>
        <c:ser>
          <c:idx val="1"/>
          <c:order val="1"/>
          <c:tx>
            <c:strRef>
              <c:f>'Budget Pivot Table'!$C$3</c:f>
              <c:strCache>
                <c:ptCount val="1"/>
                <c:pt idx="0">
                  <c:v>Sum of Actual Expense</c:v>
                </c:pt>
              </c:strCache>
            </c:strRef>
          </c:tx>
          <c:spPr>
            <a:solidFill>
              <a:srgbClr val="FF0000"/>
            </a:solidFill>
            <a:ln>
              <a:noFill/>
            </a:ln>
            <a:effectLst/>
          </c:spPr>
          <c:invertIfNegative val="0"/>
          <c:cat>
            <c:strRef>
              <c:f>'Budget Pivot Table'!$A$4:$A$14</c:f>
              <c:strCache>
                <c:ptCount val="10"/>
                <c:pt idx="0">
                  <c:v>Education</c:v>
                </c:pt>
                <c:pt idx="1">
                  <c:v>Entertainment</c:v>
                </c:pt>
                <c:pt idx="2">
                  <c:v>Food</c:v>
                </c:pt>
                <c:pt idx="3">
                  <c:v>Groceries</c:v>
                </c:pt>
                <c:pt idx="4">
                  <c:v>Healthcare</c:v>
                </c:pt>
                <c:pt idx="5">
                  <c:v>Investment</c:v>
                </c:pt>
                <c:pt idx="6">
                  <c:v>Rent</c:v>
                </c:pt>
                <c:pt idx="7">
                  <c:v>Shopping</c:v>
                </c:pt>
                <c:pt idx="8">
                  <c:v>Transport</c:v>
                </c:pt>
                <c:pt idx="9">
                  <c:v>Utilities</c:v>
                </c:pt>
              </c:strCache>
            </c:strRef>
          </c:cat>
          <c:val>
            <c:numRef>
              <c:f>'Budget Pivot Table'!$C$4:$C$14</c:f>
              <c:numCache>
                <c:formatCode>_ [$₹-4009]\ * #,##0_ ;_ [$₹-4009]\ * \-#,##0_ ;_ [$₹-4009]\ * "-"??_ ;_ @_ </c:formatCode>
                <c:ptCount val="10"/>
                <c:pt idx="0">
                  <c:v>23700</c:v>
                </c:pt>
                <c:pt idx="1">
                  <c:v>34000</c:v>
                </c:pt>
                <c:pt idx="2">
                  <c:v>41300</c:v>
                </c:pt>
                <c:pt idx="3">
                  <c:v>38500</c:v>
                </c:pt>
                <c:pt idx="4">
                  <c:v>56000</c:v>
                </c:pt>
                <c:pt idx="5">
                  <c:v>344000</c:v>
                </c:pt>
                <c:pt idx="6">
                  <c:v>327000</c:v>
                </c:pt>
                <c:pt idx="7">
                  <c:v>78900</c:v>
                </c:pt>
                <c:pt idx="8">
                  <c:v>23100</c:v>
                </c:pt>
                <c:pt idx="9">
                  <c:v>44800</c:v>
                </c:pt>
              </c:numCache>
            </c:numRef>
          </c:val>
          <c:extLst>
            <c:ext xmlns:c16="http://schemas.microsoft.com/office/drawing/2014/chart" uri="{C3380CC4-5D6E-409C-BE32-E72D297353CC}">
              <c16:uniqueId val="{00000001-D349-421D-8018-9090399286D6}"/>
            </c:ext>
          </c:extLst>
        </c:ser>
        <c:dLbls>
          <c:showLegendKey val="0"/>
          <c:showVal val="0"/>
          <c:showCatName val="0"/>
          <c:showSerName val="0"/>
          <c:showPercent val="0"/>
          <c:showBubbleSize val="0"/>
        </c:dLbls>
        <c:gapWidth val="182"/>
        <c:axId val="1751969983"/>
        <c:axId val="1645447055"/>
      </c:barChart>
      <c:catAx>
        <c:axId val="1751969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45447055"/>
        <c:crosses val="autoZero"/>
        <c:auto val="1"/>
        <c:lblAlgn val="ctr"/>
        <c:lblOffset val="100"/>
        <c:noMultiLvlLbl val="0"/>
      </c:catAx>
      <c:valAx>
        <c:axId val="1645447055"/>
        <c:scaling>
          <c:orientation val="minMax"/>
        </c:scaling>
        <c:delete val="0"/>
        <c:axPos val="b"/>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5196998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600075</xdr:colOff>
      <xdr:row>2</xdr:row>
      <xdr:rowOff>9524</xdr:rowOff>
    </xdr:from>
    <xdr:to>
      <xdr:col>10</xdr:col>
      <xdr:colOff>319087</xdr:colOff>
      <xdr:row>18</xdr:row>
      <xdr:rowOff>171449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9525</xdr:colOff>
      <xdr:row>1</xdr:row>
      <xdr:rowOff>180975</xdr:rowOff>
    </xdr:from>
    <xdr:to>
      <xdr:col>14</xdr:col>
      <xdr:colOff>9525</xdr:colOff>
      <xdr:row>12</xdr:row>
      <xdr:rowOff>180975</xdr:rowOff>
    </xdr:to>
    <mc:AlternateContent xmlns:mc="http://schemas.openxmlformats.org/markup-compatibility/2006" xmlns:a14="http://schemas.microsoft.com/office/drawing/2010/main">
      <mc:Choice Requires="a14">
        <xdr:graphicFrame macro="">
          <xdr:nvGraphicFramePr>
            <xdr:cNvPr id="4" name="Income Source"/>
            <xdr:cNvGraphicFramePr/>
          </xdr:nvGraphicFramePr>
          <xdr:xfrm>
            <a:off x="0" y="0"/>
            <a:ext cx="0" cy="0"/>
          </xdr:xfrm>
          <a:graphic>
            <a:graphicData uri="http://schemas.microsoft.com/office/drawing/2010/slicer">
              <sle:slicer xmlns:sle="http://schemas.microsoft.com/office/drawing/2010/slicer" name="Income Source"/>
            </a:graphicData>
          </a:graphic>
        </xdr:graphicFrame>
      </mc:Choice>
      <mc:Fallback xmlns="">
        <xdr:sp macro="" textlink="">
          <xdr:nvSpPr>
            <xdr:cNvPr id="0" name=""/>
            <xdr:cNvSpPr>
              <a:spLocks noTextEdit="1"/>
            </xdr:cNvSpPr>
          </xdr:nvSpPr>
          <xdr:spPr>
            <a:xfrm>
              <a:off x="8486775" y="371475"/>
              <a:ext cx="18288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xdr:colOff>
      <xdr:row>1</xdr:row>
      <xdr:rowOff>180976</xdr:rowOff>
    </xdr:from>
    <xdr:to>
      <xdr:col>18</xdr:col>
      <xdr:colOff>9525</xdr:colOff>
      <xdr:row>13</xdr:row>
      <xdr:rowOff>0</xdr:rowOff>
    </xdr:to>
    <mc:AlternateContent xmlns:mc="http://schemas.openxmlformats.org/markup-compatibility/2006" xmlns:a14="http://schemas.microsoft.com/office/drawing/2010/main">
      <mc:Choice Requires="a14">
        <xdr:graphicFrame macro="">
          <xdr:nvGraphicFramePr>
            <xdr:cNvPr id="5"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925175" y="371476"/>
              <a:ext cx="1828800" cy="2105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400050</xdr:colOff>
      <xdr:row>2</xdr:row>
      <xdr:rowOff>9525</xdr:rowOff>
    </xdr:from>
    <xdr:to>
      <xdr:col>10</xdr:col>
      <xdr:colOff>295275</xdr:colOff>
      <xdr:row>19</xdr:row>
      <xdr:rowOff>47625</xdr:rowOff>
    </xdr:to>
    <xdr:sp macro="" textlink="">
      <xdr:nvSpPr>
        <xdr:cNvPr id="6" name="Rounded Rectangle 5"/>
        <xdr:cNvSpPr/>
      </xdr:nvSpPr>
      <xdr:spPr>
        <a:xfrm>
          <a:off x="3390900" y="390525"/>
          <a:ext cx="4772025" cy="3276600"/>
        </a:xfrm>
        <a:prstGeom prst="roundRect">
          <a:avLst/>
        </a:prstGeom>
        <a:no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1</xdr:row>
      <xdr:rowOff>123825</xdr:rowOff>
    </xdr:from>
    <xdr:to>
      <xdr:col>11</xdr:col>
      <xdr:colOff>381000</xdr:colOff>
      <xdr:row>18</xdr:row>
      <xdr:rowOff>47625</xdr:rowOff>
    </xdr:to>
    <xdr:sp macro="" textlink="">
      <xdr:nvSpPr>
        <xdr:cNvPr id="5" name="Rounded Rectangle 4"/>
        <xdr:cNvSpPr/>
      </xdr:nvSpPr>
      <xdr:spPr>
        <a:xfrm>
          <a:off x="2886075" y="314325"/>
          <a:ext cx="5562600" cy="3162300"/>
        </a:xfrm>
        <a:prstGeom prst="roundRect">
          <a:avLst/>
        </a:prstGeom>
        <a:no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33336</xdr:colOff>
      <xdr:row>2</xdr:row>
      <xdr:rowOff>0</xdr:rowOff>
    </xdr:from>
    <xdr:to>
      <xdr:col>11</xdr:col>
      <xdr:colOff>19049</xdr:colOff>
      <xdr:row>18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xdr:colOff>
      <xdr:row>2</xdr:row>
      <xdr:rowOff>9525</xdr:rowOff>
    </xdr:from>
    <xdr:to>
      <xdr:col>14</xdr:col>
      <xdr:colOff>76200</xdr:colOff>
      <xdr:row>15</xdr:row>
      <xdr:rowOff>57150</xdr:rowOff>
    </xdr:to>
    <mc:AlternateContent xmlns:mc="http://schemas.openxmlformats.org/markup-compatibility/2006" xmlns:a14="http://schemas.microsoft.com/office/drawing/2010/main">
      <mc:Choice Requires="a14">
        <xdr:graphicFrame macro="">
          <xdr:nvGraphicFramePr>
            <xdr:cNvPr id="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686800" y="619125"/>
              <a:ext cx="12858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590550</xdr:colOff>
      <xdr:row>2</xdr:row>
      <xdr:rowOff>0</xdr:rowOff>
    </xdr:from>
    <xdr:to>
      <xdr:col>17</xdr:col>
      <xdr:colOff>590550</xdr:colOff>
      <xdr:row>12</xdr:row>
      <xdr:rowOff>47625</xdr:rowOff>
    </xdr:to>
    <mc:AlternateContent xmlns:mc="http://schemas.openxmlformats.org/markup-compatibility/2006" xmlns:a14="http://schemas.microsoft.com/office/drawing/2010/main">
      <mc:Choice Requires="a14">
        <xdr:graphicFrame macro="">
          <xdr:nvGraphicFramePr>
            <xdr:cNvPr id="4" name="Payment Method 1"/>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0487025" y="609600"/>
              <a:ext cx="1828800" cy="195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381000</xdr:colOff>
      <xdr:row>2</xdr:row>
      <xdr:rowOff>9525</xdr:rowOff>
    </xdr:from>
    <xdr:to>
      <xdr:col>16</xdr:col>
      <xdr:colOff>9525</xdr:colOff>
      <xdr:row>15</xdr:row>
      <xdr:rowOff>57150</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34650" y="619125"/>
              <a:ext cx="14573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428625</xdr:colOff>
      <xdr:row>1</xdr:row>
      <xdr:rowOff>76200</xdr:rowOff>
    </xdr:from>
    <xdr:to>
      <xdr:col>12</xdr:col>
      <xdr:colOff>95250</xdr:colOff>
      <xdr:row>17</xdr:row>
      <xdr:rowOff>104775</xdr:rowOff>
    </xdr:to>
    <xdr:sp macro="" textlink="">
      <xdr:nvSpPr>
        <xdr:cNvPr id="6" name="Rounded Rectangle 5"/>
        <xdr:cNvSpPr/>
      </xdr:nvSpPr>
      <xdr:spPr>
        <a:xfrm>
          <a:off x="4486275" y="266700"/>
          <a:ext cx="5153025" cy="3076575"/>
        </a:xfrm>
        <a:prstGeom prst="roundRect">
          <a:avLst/>
        </a:prstGeom>
        <a:no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161925</xdr:colOff>
      <xdr:row>2</xdr:row>
      <xdr:rowOff>57150</xdr:rowOff>
    </xdr:from>
    <xdr:to>
      <xdr:col>11</xdr:col>
      <xdr:colOff>466725</xdr:colOff>
      <xdr:row>16</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257175</xdr:colOff>
      <xdr:row>7</xdr:row>
      <xdr:rowOff>152400</xdr:rowOff>
    </xdr:from>
    <xdr:to>
      <xdr:col>8</xdr:col>
      <xdr:colOff>409575</xdr:colOff>
      <xdr:row>22</xdr:row>
      <xdr:rowOff>142875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209550</xdr:colOff>
      <xdr:row>8</xdr:row>
      <xdr:rowOff>47624</xdr:rowOff>
    </xdr:from>
    <xdr:to>
      <xdr:col>18</xdr:col>
      <xdr:colOff>657225</xdr:colOff>
      <xdr:row>23</xdr:row>
      <xdr:rowOff>9525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7</xdr:row>
      <xdr:rowOff>9525</xdr:rowOff>
    </xdr:from>
    <xdr:to>
      <xdr:col>8</xdr:col>
      <xdr:colOff>609599</xdr:colOff>
      <xdr:row>23</xdr:row>
      <xdr:rowOff>0</xdr:rowOff>
    </xdr:to>
    <xdr:sp macro="" textlink="">
      <xdr:nvSpPr>
        <xdr:cNvPr id="7" name="Rectangle 6"/>
        <xdr:cNvSpPr/>
      </xdr:nvSpPr>
      <xdr:spPr>
        <a:xfrm>
          <a:off x="9524" y="2152650"/>
          <a:ext cx="5476875" cy="3038475"/>
        </a:xfrm>
        <a:prstGeom prst="rect">
          <a:avLst/>
        </a:prstGeom>
        <a:no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609599</xdr:colOff>
      <xdr:row>7</xdr:row>
      <xdr:rowOff>9525</xdr:rowOff>
    </xdr:from>
    <xdr:to>
      <xdr:col>19</xdr:col>
      <xdr:colOff>0</xdr:colOff>
      <xdr:row>22</xdr:row>
      <xdr:rowOff>171450</xdr:rowOff>
    </xdr:to>
    <xdr:sp macro="" textlink="">
      <xdr:nvSpPr>
        <xdr:cNvPr id="8" name="Rectangle 7"/>
        <xdr:cNvSpPr/>
      </xdr:nvSpPr>
      <xdr:spPr>
        <a:xfrm>
          <a:off x="6095999" y="2152650"/>
          <a:ext cx="5715001" cy="3019425"/>
        </a:xfrm>
        <a:prstGeom prst="rect">
          <a:avLst/>
        </a:prstGeom>
        <a:no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5</xdr:col>
      <xdr:colOff>142875</xdr:colOff>
      <xdr:row>24</xdr:row>
      <xdr:rowOff>114300</xdr:rowOff>
    </xdr:from>
    <xdr:to>
      <xdr:col>13</xdr:col>
      <xdr:colOff>447675</xdr:colOff>
      <xdr:row>38</xdr:row>
      <xdr:rowOff>76200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24</xdr:row>
      <xdr:rowOff>9525</xdr:rowOff>
    </xdr:from>
    <xdr:to>
      <xdr:col>13</xdr:col>
      <xdr:colOff>590550</xdr:colOff>
      <xdr:row>38</xdr:row>
      <xdr:rowOff>142875</xdr:rowOff>
    </xdr:to>
    <xdr:sp macro="" textlink="">
      <xdr:nvSpPr>
        <xdr:cNvPr id="10" name="Rectangle 9"/>
        <xdr:cNvSpPr/>
      </xdr:nvSpPr>
      <xdr:spPr>
        <a:xfrm>
          <a:off x="3048000" y="5391150"/>
          <a:ext cx="5467350" cy="2800350"/>
        </a:xfrm>
        <a:prstGeom prst="rect">
          <a:avLst/>
        </a:prstGeom>
        <a:no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istrator" refreshedDate="46161.178417592593" backgroundQuery="1" createdVersion="6" refreshedVersion="6" minRefreshableVersion="3" recordCount="0" supportSubquery="1" supportAdvancedDrill="1">
  <cacheSource type="external" connectionId="4"/>
  <cacheFields count="2">
    <cacheField name="[Range].[Month].[Month]" caption="Month" numFmtId="0" hierarchy="3" level="1">
      <sharedItems count="12">
        <s v="April"/>
        <s v="August"/>
        <s v="December"/>
        <s v="February"/>
        <s v="January"/>
        <s v="July"/>
        <s v="June"/>
        <s v="March"/>
        <s v="May"/>
        <s v="November"/>
        <s v="October"/>
        <s v="September"/>
      </sharedItems>
    </cacheField>
    <cacheField name="[Measures].[Sum of Monthly Income]" caption="Sum of Monthly Income" numFmtId="0" hierarchy="18" level="32767"/>
  </cacheFields>
  <cacheHierarchies count="22">
    <cacheHierarchy uniqueName="[Range].[Date]" caption="Date" attribute="1" time="1" defaultMemberUniqueName="[Range].[Date].[All]" allUniqueName="[Range].[Date].[All]" dimensionUniqueName="[Range]" displayFolder="" count="0" memberValueDatatype="7" unbalanced="0"/>
    <cacheHierarchy uniqueName="[Range].[Id]" caption="Id" attribute="1" defaultMemberUniqueName="[Range].[Id].[All]" allUniqueName="[Range].[Id].[All]" dimensionUniqueName="[Range]" displayFolder="" count="0" memberValueDatatype="130" unbalanced="0"/>
    <cacheHierarchy uniqueName="[Range].[Income Source]" caption="Income Source" attribute="1" defaultMemberUniqueName="[Range].[Income Source].[All]" allUniqueName="[Range].[Income Sourc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Monthly Income]" caption="Monthly Income" attribute="1" defaultMemberUniqueName="[Range].[Monthly Income].[All]" allUniqueName="[Range].[Monthly Income].[All]" dimensionUniqueName="[Range]" displayFolder="" count="2"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1].[Date]" caption="Date" attribute="1" time="1" defaultMemberUniqueName="[Range1].[Date].[All]" allUniqueName="[Range1].[Date].[All]" dimensionUniqueName="[Range1]" displayFolder="" count="0" memberValueDatatype="7" unbalanced="0"/>
    <cacheHierarchy uniqueName="[Range1].[Month]" caption="Month" attribute="1" defaultMemberUniqueName="[Range1].[Month].[All]" allUniqueName="[Range1].[Month].[All]" dimensionUniqueName="[Range1]" displayFolder="" count="0" memberValueDatatype="130" unbalanced="0"/>
    <cacheHierarchy uniqueName="[Range1].[Expense Category]" caption="Expense Category" attribute="1" defaultMemberUniqueName="[Range1].[Expense Category].[All]" allUniqueName="[Range1].[Expense Category].[All]" dimensionUniqueName="[Range1]" displayFolder="" count="0" memberValueDatatype="130" unbalanced="0"/>
    <cacheHierarchy uniqueName="[Range1].[Expense Amount]" caption="Expense Amount" attribute="1" defaultMemberUniqueName="[Range1].[Expense Amount].[All]" allUniqueName="[Range1].[Expense Amount].[All]" dimensionUniqueName="[Range1]" displayFolder="" count="0" memberValueDatatype="20" unbalanced="0"/>
    <cacheHierarchy uniqueName="[Range1].[Payment Method]" caption="Payment Method" attribute="1" defaultMemberUniqueName="[Range1].[Payment Method].[All]" allUniqueName="[Range1].[Payment Method].[All]" dimensionUniqueName="[Range1]" displayFolder="" count="0" memberValueDatatype="130" unbalanced="0"/>
    <cacheHierarchy uniqueName="[Range2].[Category]" caption="Category" attribute="1" defaultMemberUniqueName="[Range2].[Category].[All]" allUniqueName="[Range2].[Category].[All]" dimensionUniqueName="[Range2]" displayFolder="" count="0" memberValueDatatype="130" unbalanced="0"/>
    <cacheHierarchy uniqueName="[Range2].[Monthly Budget]" caption="Monthly Budget" attribute="1" defaultMemberUniqueName="[Range2].[Monthly Budget].[All]" allUniqueName="[Range2].[Monthly Budget].[All]" dimensionUniqueName="[Range2]" displayFolder="" count="0" memberValueDatatype="20" unbalanced="0"/>
    <cacheHierarchy uniqueName="[Range2].[Actual Expense]" caption="Actual Expense" attribute="1" defaultMemberUniqueName="[Range2].[Actual Expense].[All]" allUniqueName="[Range2].[Actual Expense].[All]" dimensionUniqueName="[Range2]" displayFolder="" count="0" memberValueDatatype="2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Monthly Income]" caption="Sum of Monthly Incom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Expense Amount]" caption="Sum of Expense Amount" measure="1" displayFolder="" measureGroup="Range1" count="0" hidden="1">
      <extLst>
        <ext xmlns:x15="http://schemas.microsoft.com/office/spreadsheetml/2010/11/main" uri="{B97F6D7D-B522-45F9-BDA1-12C45D357490}">
          <x15:cacheHierarchy aggregatedColumn="9"/>
        </ext>
      </extLst>
    </cacheHierarchy>
    <cacheHierarchy uniqueName="[Measures].[Sum of Monthly Budget]" caption="Sum of Monthly Budget" measure="1" displayFolder="" measureGroup="Range2" count="0" hidden="1">
      <extLst>
        <ext xmlns:x15="http://schemas.microsoft.com/office/spreadsheetml/2010/11/main" uri="{B97F6D7D-B522-45F9-BDA1-12C45D357490}">
          <x15:cacheHierarchy aggregatedColumn="12"/>
        </ext>
      </extLst>
    </cacheHierarchy>
    <cacheHierarchy uniqueName="[Measures].[Sum of Actual Expense]" caption="Sum of Actual Expense" measure="1" displayFolder="" measureGroup="Range2"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istrator" refreshedDate="46161.191347800923" backgroundQuery="1" createdVersion="6" refreshedVersion="6" minRefreshableVersion="3" recordCount="0" supportSubquery="1" supportAdvancedDrill="1">
  <cacheSource type="external" connectionId="4"/>
  <cacheFields count="3">
    <cacheField name="[Range1].[Expense Category].[Expense Category]" caption="Expense Category" numFmtId="0" hierarchy="8" level="1">
      <sharedItems count="12">
        <s v="Education"/>
        <s v="Entertainment"/>
        <s v="Food"/>
        <s v="Groceries"/>
        <s v="Healthcare"/>
        <s v="Investment"/>
        <s v="Rent"/>
        <s v="Shopping"/>
        <s v="Transport"/>
        <s v="Travel"/>
        <s v="Unknown"/>
        <s v="Utilities"/>
      </sharedItems>
    </cacheField>
    <cacheField name="[Measures].[Sum of Expense Amount]" caption="Sum of Expense Amount" numFmtId="0" hierarchy="19" level="32767"/>
    <cacheField name="[Range1].[Month].[Month]" caption="Month" numFmtId="0" hierarchy="7"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Id]" caption="Id" attribute="1" defaultMemberUniqueName="[Range].[Id].[All]" allUniqueName="[Range].[Id].[All]" dimensionUniqueName="[Range]" displayFolder="" count="0" memberValueDatatype="130" unbalanced="0"/>
    <cacheHierarchy uniqueName="[Range].[Income Source]" caption="Income Source" attribute="1" defaultMemberUniqueName="[Range].[Income Source].[All]" allUniqueName="[Range].[Income Sourc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Monthly Income]" caption="Monthly Income" attribute="1" defaultMemberUniqueName="[Range].[Monthly Income].[All]" allUniqueName="[Range].[Monthly Income].[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1].[Date]" caption="Date" attribute="1" time="1" defaultMemberUniqueName="[Range1].[Date].[All]" allUniqueName="[Range1].[Date].[All]" dimensionUniqueName="[Range1]" displayFolder="" count="0" memberValueDatatype="7" unbalanced="0"/>
    <cacheHierarchy uniqueName="[Range1].[Month]" caption="Month" attribute="1" defaultMemberUniqueName="[Range1].[Month].[All]" allUniqueName="[Range1].[Month].[All]" dimensionUniqueName="[Range1]" displayFolder="" count="2" memberValueDatatype="130" unbalanced="0">
      <fieldsUsage count="2">
        <fieldUsage x="-1"/>
        <fieldUsage x="2"/>
      </fieldsUsage>
    </cacheHierarchy>
    <cacheHierarchy uniqueName="[Range1].[Expense Category]" caption="Expense Category" attribute="1" defaultMemberUniqueName="[Range1].[Expense Category].[All]" allUniqueName="[Range1].[Expense Category].[All]" dimensionUniqueName="[Range1]" displayFolder="" count="2" memberValueDatatype="130" unbalanced="0">
      <fieldsUsage count="2">
        <fieldUsage x="-1"/>
        <fieldUsage x="0"/>
      </fieldsUsage>
    </cacheHierarchy>
    <cacheHierarchy uniqueName="[Range1].[Expense Amount]" caption="Expense Amount" attribute="1" defaultMemberUniqueName="[Range1].[Expense Amount].[All]" allUniqueName="[Range1].[Expense Amount].[All]" dimensionUniqueName="[Range1]" displayFolder="" count="0" memberValueDatatype="20" unbalanced="0"/>
    <cacheHierarchy uniqueName="[Range1].[Payment Method]" caption="Payment Method" attribute="1" defaultMemberUniqueName="[Range1].[Payment Method].[All]" allUniqueName="[Range1].[Payment Method].[All]" dimensionUniqueName="[Range1]" displayFolder="" count="2" memberValueDatatype="130" unbalanced="0"/>
    <cacheHierarchy uniqueName="[Range2].[Category]" caption="Category" attribute="1" defaultMemberUniqueName="[Range2].[Category].[All]" allUniqueName="[Range2].[Category].[All]" dimensionUniqueName="[Range2]" displayFolder="" count="0" memberValueDatatype="130" unbalanced="0"/>
    <cacheHierarchy uniqueName="[Range2].[Monthly Budget]" caption="Monthly Budget" attribute="1" defaultMemberUniqueName="[Range2].[Monthly Budget].[All]" allUniqueName="[Range2].[Monthly Budget].[All]" dimensionUniqueName="[Range2]" displayFolder="" count="0" memberValueDatatype="20" unbalanced="0"/>
    <cacheHierarchy uniqueName="[Range2].[Actual Expense]" caption="Actual Expense" attribute="1" defaultMemberUniqueName="[Range2].[Actual Expense].[All]" allUniqueName="[Range2].[Actual Expense].[All]" dimensionUniqueName="[Range2]" displayFolder="" count="0" memberValueDatatype="2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4"/>
        </ext>
      </extLst>
    </cacheHierarchy>
    <cacheHierarchy uniqueName="[Measures].[Sum of Expense Amount]" caption="Sum of Expense Amount" measure="1" displayFolder="" measureGroup="Rang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Monthly Budget]" caption="Sum of Monthly Budget" measure="1" displayFolder="" measureGroup="Range2" count="0" hidden="1">
      <extLst>
        <ext xmlns:x15="http://schemas.microsoft.com/office/spreadsheetml/2010/11/main" uri="{B97F6D7D-B522-45F9-BDA1-12C45D357490}">
          <x15:cacheHierarchy aggregatedColumn="12"/>
        </ext>
      </extLst>
    </cacheHierarchy>
    <cacheHierarchy uniqueName="[Measures].[Sum of Actual Expense]" caption="Sum of Actual Expense" measure="1" displayFolder="" measureGroup="Range2"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istrator" refreshedDate="46161.623072685186" backgroundQuery="1" createdVersion="6" refreshedVersion="6" minRefreshableVersion="3" recordCount="0" supportSubquery="1" supportAdvancedDrill="1">
  <cacheSource type="external" connectionId="4"/>
  <cacheFields count="3">
    <cacheField name="[Range2].[Category].[Category]" caption="Category" numFmtId="0" hierarchy="11" level="1">
      <sharedItems count="10">
        <s v="Education"/>
        <s v="Entertainment"/>
        <s v="Food"/>
        <s v="Groceries"/>
        <s v="Healthcare"/>
        <s v="Investment"/>
        <s v="Rent"/>
        <s v="Shopping"/>
        <s v="Transport"/>
        <s v="Utilities"/>
      </sharedItems>
    </cacheField>
    <cacheField name="[Measures].[Sum of Monthly Budget]" caption="Sum of Monthly Budget" numFmtId="0" hierarchy="20" level="32767"/>
    <cacheField name="[Measures].[Sum of Actual Expense]" caption="Sum of Actual Expense" numFmtId="0" hierarchy="21" level="32767"/>
  </cacheFields>
  <cacheHierarchies count="22">
    <cacheHierarchy uniqueName="[Range].[Date]" caption="Date" attribute="1" time="1" defaultMemberUniqueName="[Range].[Date].[All]" allUniqueName="[Range].[Date].[All]" dimensionUniqueName="[Range]" displayFolder="" count="2" memberValueDatatype="7" unbalanced="0"/>
    <cacheHierarchy uniqueName="[Range].[Id]" caption="Id" attribute="1" defaultMemberUniqueName="[Range].[Id].[All]" allUniqueName="[Range].[Id].[All]" dimensionUniqueName="[Range]" displayFolder="" count="2" memberValueDatatype="130" unbalanced="0"/>
    <cacheHierarchy uniqueName="[Range].[Income Source]" caption="Income Source" attribute="1" defaultMemberUniqueName="[Range].[Income Source].[All]" allUniqueName="[Range].[Income Source].[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Monthly Income]" caption="Monthly Income" attribute="1" defaultMemberUniqueName="[Range].[Monthly Income].[All]" allUniqueName="[Range].[Monthly Income].[All]" dimensionUniqueName="[Range]" displayFolder="" count="2" memberValueDatatype="2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1].[Date]" caption="Date" attribute="1" time="1" defaultMemberUniqueName="[Range1].[Date].[All]" allUniqueName="[Range1].[Date].[All]" dimensionUniqueName="[Range1]" displayFolder="" count="2" memberValueDatatype="7" unbalanced="0"/>
    <cacheHierarchy uniqueName="[Range1].[Month]" caption="Month" attribute="1" defaultMemberUniqueName="[Range1].[Month].[All]" allUniqueName="[Range1].[Month].[All]" dimensionUniqueName="[Range1]" displayFolder="" count="2" memberValueDatatype="130" unbalanced="0"/>
    <cacheHierarchy uniqueName="[Range1].[Expense Category]" caption="Expense Category" attribute="1" defaultMemberUniqueName="[Range1].[Expense Category].[All]" allUniqueName="[Range1].[Expense Category].[All]" dimensionUniqueName="[Range1]" displayFolder="" count="2" memberValueDatatype="130" unbalanced="0"/>
    <cacheHierarchy uniqueName="[Range1].[Expense Amount]" caption="Expense Amount" attribute="1" defaultMemberUniqueName="[Range1].[Expense Amount].[All]" allUniqueName="[Range1].[Expense Amount].[All]" dimensionUniqueName="[Range1]" displayFolder="" count="2" memberValueDatatype="20" unbalanced="0"/>
    <cacheHierarchy uniqueName="[Range1].[Payment Method]" caption="Payment Method" attribute="1" defaultMemberUniqueName="[Range1].[Payment Method].[All]" allUniqueName="[Range1].[Payment Method].[All]" dimensionUniqueName="[Range1]" displayFolder="" count="2" memberValueDatatype="130" unbalanced="0"/>
    <cacheHierarchy uniqueName="[Range2].[Category]" caption="Category" attribute="1" defaultMemberUniqueName="[Range2].[Category].[All]" allUniqueName="[Range2].[Category].[All]" dimensionUniqueName="[Range2]" displayFolder="" count="2" memberValueDatatype="130" unbalanced="0">
      <fieldsUsage count="2">
        <fieldUsage x="-1"/>
        <fieldUsage x="0"/>
      </fieldsUsage>
    </cacheHierarchy>
    <cacheHierarchy uniqueName="[Range2].[Monthly Budget]" caption="Monthly Budget" attribute="1" defaultMemberUniqueName="[Range2].[Monthly Budget].[All]" allUniqueName="[Range2].[Monthly Budget].[All]" dimensionUniqueName="[Range2]" displayFolder="" count="2" memberValueDatatype="20" unbalanced="0"/>
    <cacheHierarchy uniqueName="[Range2].[Actual Expense]" caption="Actual Expense" attribute="1" defaultMemberUniqueName="[Range2].[Actual Expense].[All]" allUniqueName="[Range2].[Actual Expense].[All]" dimensionUniqueName="[Range2]" displayFolder="" count="2" memberValueDatatype="2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4"/>
        </ext>
      </extLst>
    </cacheHierarchy>
    <cacheHierarchy uniqueName="[Measures].[Sum of Expense Amount]" caption="Sum of Expense Amount" measure="1" displayFolder="" measureGroup="Range1" count="0" hidden="1">
      <extLst>
        <ext xmlns:x15="http://schemas.microsoft.com/office/spreadsheetml/2010/11/main" uri="{B97F6D7D-B522-45F9-BDA1-12C45D357490}">
          <x15:cacheHierarchy aggregatedColumn="9"/>
        </ext>
      </extLst>
    </cacheHierarchy>
    <cacheHierarchy uniqueName="[Measures].[Sum of Monthly Budget]" caption="Sum of Monthly Budget" measure="1" displayFolder="" measureGroup="Range2"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ctual Expense]" caption="Sum of Actual Expense" measure="1" displayFolder="" measureGroup="Range2"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istrator" refreshedDate="46161.178417592593" backgroundQuery="1" createdVersion="6" refreshedVersion="6" minRefreshableVersion="3" recordCount="0" supportSubquery="1" supportAdvancedDrill="1">
  <cacheSource type="external" connectionId="4"/>
  <cacheFields count="2">
    <cacheField name="[Range].[Month].[Month]" caption="Month" numFmtId="0" hierarchy="3" level="1">
      <sharedItems count="12">
        <s v="April"/>
        <s v="August"/>
        <s v="December"/>
        <s v="February"/>
        <s v="January"/>
        <s v="July"/>
        <s v="June"/>
        <s v="March"/>
        <s v="May"/>
        <s v="November"/>
        <s v="October"/>
        <s v="September"/>
      </sharedItems>
    </cacheField>
    <cacheField name="[Measures].[Sum of Monthly Income]" caption="Sum of Monthly Income" numFmtId="0" hierarchy="18" level="32767"/>
  </cacheFields>
  <cacheHierarchies count="22">
    <cacheHierarchy uniqueName="[Range].[Date]" caption="Date" attribute="1" time="1" defaultMemberUniqueName="[Range].[Date].[All]" allUniqueName="[Range].[Date].[All]" dimensionUniqueName="[Range]" displayFolder="" count="0" memberValueDatatype="7" unbalanced="0"/>
    <cacheHierarchy uniqueName="[Range].[Id]" caption="Id" attribute="1" defaultMemberUniqueName="[Range].[Id].[All]" allUniqueName="[Range].[Id].[All]" dimensionUniqueName="[Range]" displayFolder="" count="0" memberValueDatatype="130" unbalanced="0"/>
    <cacheHierarchy uniqueName="[Range].[Income Source]" caption="Income Source" attribute="1" defaultMemberUniqueName="[Range].[Income Source].[All]" allUniqueName="[Range].[Income Sourc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Monthly Income]" caption="Monthly Income" attribute="1" defaultMemberUniqueName="[Range].[Monthly Income].[All]" allUniqueName="[Range].[Monthly Income].[All]" dimensionUniqueName="[Range]" displayFolder="" count="2"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1].[Date]" caption="Date" attribute="1" time="1" defaultMemberUniqueName="[Range1].[Date].[All]" allUniqueName="[Range1].[Date].[All]" dimensionUniqueName="[Range1]" displayFolder="" count="0" memberValueDatatype="7" unbalanced="0"/>
    <cacheHierarchy uniqueName="[Range1].[Month]" caption="Month" attribute="1" defaultMemberUniqueName="[Range1].[Month].[All]" allUniqueName="[Range1].[Month].[All]" dimensionUniqueName="[Range1]" displayFolder="" count="0" memberValueDatatype="130" unbalanced="0"/>
    <cacheHierarchy uniqueName="[Range1].[Expense Category]" caption="Expense Category" attribute="1" defaultMemberUniqueName="[Range1].[Expense Category].[All]" allUniqueName="[Range1].[Expense Category].[All]" dimensionUniqueName="[Range1]" displayFolder="" count="0" memberValueDatatype="130" unbalanced="0"/>
    <cacheHierarchy uniqueName="[Range1].[Expense Amount]" caption="Expense Amount" attribute="1" defaultMemberUniqueName="[Range1].[Expense Amount].[All]" allUniqueName="[Range1].[Expense Amount].[All]" dimensionUniqueName="[Range1]" displayFolder="" count="0" memberValueDatatype="20" unbalanced="0"/>
    <cacheHierarchy uniqueName="[Range1].[Payment Method]" caption="Payment Method" attribute="1" defaultMemberUniqueName="[Range1].[Payment Method].[All]" allUniqueName="[Range1].[Payment Method].[All]" dimensionUniqueName="[Range1]" displayFolder="" count="0" memberValueDatatype="130" unbalanced="0"/>
    <cacheHierarchy uniqueName="[Range2].[Category]" caption="Category" attribute="1" defaultMemberUniqueName="[Range2].[Category].[All]" allUniqueName="[Range2].[Category].[All]" dimensionUniqueName="[Range2]" displayFolder="" count="0" memberValueDatatype="130" unbalanced="0"/>
    <cacheHierarchy uniqueName="[Range2].[Monthly Budget]" caption="Monthly Budget" attribute="1" defaultMemberUniqueName="[Range2].[Monthly Budget].[All]" allUniqueName="[Range2].[Monthly Budget].[All]" dimensionUniqueName="[Range2]" displayFolder="" count="0" memberValueDatatype="20" unbalanced="0"/>
    <cacheHierarchy uniqueName="[Range2].[Actual Expense]" caption="Actual Expense" attribute="1" defaultMemberUniqueName="[Range2].[Actual Expense].[All]" allUniqueName="[Range2].[Actual Expense].[All]" dimensionUniqueName="[Range2]" displayFolder="" count="0" memberValueDatatype="2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Monthly Income]" caption="Sum of Monthly Incom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Expense Amount]" caption="Sum of Expense Amount" measure="1" displayFolder="" measureGroup="Range1" count="0" hidden="1">
      <extLst>
        <ext xmlns:x15="http://schemas.microsoft.com/office/spreadsheetml/2010/11/main" uri="{B97F6D7D-B522-45F9-BDA1-12C45D357490}">
          <x15:cacheHierarchy aggregatedColumn="9"/>
        </ext>
      </extLst>
    </cacheHierarchy>
    <cacheHierarchy uniqueName="[Measures].[Sum of Monthly Budget]" caption="Sum of Monthly Budget" measure="1" displayFolder="" measureGroup="Range2" count="0" hidden="1">
      <extLst>
        <ext xmlns:x15="http://schemas.microsoft.com/office/spreadsheetml/2010/11/main" uri="{B97F6D7D-B522-45F9-BDA1-12C45D357490}">
          <x15:cacheHierarchy aggregatedColumn="12"/>
        </ext>
      </extLst>
    </cacheHierarchy>
    <cacheHierarchy uniqueName="[Measures].[Sum of Actual Expense]" caption="Sum of Actual Expense" measure="1" displayFolder="" measureGroup="Range2"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istrator" refreshedDate="46161.191347800923" backgroundQuery="1" createdVersion="6" refreshedVersion="6" minRefreshableVersion="3" recordCount="0" supportSubquery="1" supportAdvancedDrill="1">
  <cacheSource type="external" connectionId="4"/>
  <cacheFields count="3">
    <cacheField name="[Range1].[Expense Category].[Expense Category]" caption="Expense Category" numFmtId="0" hierarchy="8" level="1">
      <sharedItems count="12">
        <s v="Education"/>
        <s v="Entertainment"/>
        <s v="Food"/>
        <s v="Groceries"/>
        <s v="Healthcare"/>
        <s v="Investment"/>
        <s v="Rent"/>
        <s v="Shopping"/>
        <s v="Transport"/>
        <s v="Travel"/>
        <s v="Unknown"/>
        <s v="Utilities"/>
      </sharedItems>
    </cacheField>
    <cacheField name="[Measures].[Sum of Expense Amount]" caption="Sum of Expense Amount" numFmtId="0" hierarchy="19" level="32767"/>
    <cacheField name="[Range1].[Month].[Month]" caption="Month" numFmtId="0" hierarchy="7"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Id]" caption="Id" attribute="1" defaultMemberUniqueName="[Range].[Id].[All]" allUniqueName="[Range].[Id].[All]" dimensionUniqueName="[Range]" displayFolder="" count="0" memberValueDatatype="130" unbalanced="0"/>
    <cacheHierarchy uniqueName="[Range].[Income Source]" caption="Income Source" attribute="1" defaultMemberUniqueName="[Range].[Income Source].[All]" allUniqueName="[Range].[Income Sourc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Monthly Income]" caption="Monthly Income" attribute="1" defaultMemberUniqueName="[Range].[Monthly Income].[All]" allUniqueName="[Range].[Monthly Income].[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1].[Date]" caption="Date" attribute="1" time="1" defaultMemberUniqueName="[Range1].[Date].[All]" allUniqueName="[Range1].[Date].[All]" dimensionUniqueName="[Range1]" displayFolder="" count="0" memberValueDatatype="7" unbalanced="0"/>
    <cacheHierarchy uniqueName="[Range1].[Month]" caption="Month" attribute="1" defaultMemberUniqueName="[Range1].[Month].[All]" allUniqueName="[Range1].[Month].[All]" dimensionUniqueName="[Range1]" displayFolder="" count="2" memberValueDatatype="130" unbalanced="0">
      <fieldsUsage count="2">
        <fieldUsage x="-1"/>
        <fieldUsage x="2"/>
      </fieldsUsage>
    </cacheHierarchy>
    <cacheHierarchy uniqueName="[Range1].[Expense Category]" caption="Expense Category" attribute="1" defaultMemberUniqueName="[Range1].[Expense Category].[All]" allUniqueName="[Range1].[Expense Category].[All]" dimensionUniqueName="[Range1]" displayFolder="" count="2" memberValueDatatype="130" unbalanced="0">
      <fieldsUsage count="2">
        <fieldUsage x="-1"/>
        <fieldUsage x="0"/>
      </fieldsUsage>
    </cacheHierarchy>
    <cacheHierarchy uniqueName="[Range1].[Expense Amount]" caption="Expense Amount" attribute="1" defaultMemberUniqueName="[Range1].[Expense Amount].[All]" allUniqueName="[Range1].[Expense Amount].[All]" dimensionUniqueName="[Range1]" displayFolder="" count="0" memberValueDatatype="20" unbalanced="0"/>
    <cacheHierarchy uniqueName="[Range1].[Payment Method]" caption="Payment Method" attribute="1" defaultMemberUniqueName="[Range1].[Payment Method].[All]" allUniqueName="[Range1].[Payment Method].[All]" dimensionUniqueName="[Range1]" displayFolder="" count="2" memberValueDatatype="130" unbalanced="0"/>
    <cacheHierarchy uniqueName="[Range2].[Category]" caption="Category" attribute="1" defaultMemberUniqueName="[Range2].[Category].[All]" allUniqueName="[Range2].[Category].[All]" dimensionUniqueName="[Range2]" displayFolder="" count="0" memberValueDatatype="130" unbalanced="0"/>
    <cacheHierarchy uniqueName="[Range2].[Monthly Budget]" caption="Monthly Budget" attribute="1" defaultMemberUniqueName="[Range2].[Monthly Budget].[All]" allUniqueName="[Range2].[Monthly Budget].[All]" dimensionUniqueName="[Range2]" displayFolder="" count="0" memberValueDatatype="20" unbalanced="0"/>
    <cacheHierarchy uniqueName="[Range2].[Actual Expense]" caption="Actual Expense" attribute="1" defaultMemberUniqueName="[Range2].[Actual Expense].[All]" allUniqueName="[Range2].[Actual Expense].[All]" dimensionUniqueName="[Range2]" displayFolder="" count="0" memberValueDatatype="2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4"/>
        </ext>
      </extLst>
    </cacheHierarchy>
    <cacheHierarchy uniqueName="[Measures].[Sum of Expense Amount]" caption="Sum of Expense Amount" measure="1" displayFolder="" measureGroup="Rang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Monthly Budget]" caption="Sum of Monthly Budget" measure="1" displayFolder="" measureGroup="Range2" count="0" hidden="1">
      <extLst>
        <ext xmlns:x15="http://schemas.microsoft.com/office/spreadsheetml/2010/11/main" uri="{B97F6D7D-B522-45F9-BDA1-12C45D357490}">
          <x15:cacheHierarchy aggregatedColumn="12"/>
        </ext>
      </extLst>
    </cacheHierarchy>
    <cacheHierarchy uniqueName="[Measures].[Sum of Actual Expense]" caption="Sum of Actual Expense" measure="1" displayFolder="" measureGroup="Range2"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istrator" refreshedDate="46161.623072685186" backgroundQuery="1" createdVersion="6" refreshedVersion="6" minRefreshableVersion="3" recordCount="0" supportSubquery="1" supportAdvancedDrill="1">
  <cacheSource type="external" connectionId="4"/>
  <cacheFields count="3">
    <cacheField name="[Range2].[Category].[Category]" caption="Category" numFmtId="0" hierarchy="11" level="1">
      <sharedItems count="10">
        <s v="Education"/>
        <s v="Entertainment"/>
        <s v="Food"/>
        <s v="Groceries"/>
        <s v="Healthcare"/>
        <s v="Investment"/>
        <s v="Rent"/>
        <s v="Shopping"/>
        <s v="Transport"/>
        <s v="Utilities"/>
      </sharedItems>
    </cacheField>
    <cacheField name="[Measures].[Sum of Monthly Budget]" caption="Sum of Monthly Budget" numFmtId="0" hierarchy="20" level="32767"/>
    <cacheField name="[Measures].[Sum of Actual Expense]" caption="Sum of Actual Expense" numFmtId="0" hierarchy="21" level="32767"/>
  </cacheFields>
  <cacheHierarchies count="22">
    <cacheHierarchy uniqueName="[Range].[Date]" caption="Date" attribute="1" time="1" defaultMemberUniqueName="[Range].[Date].[All]" allUniqueName="[Range].[Date].[All]" dimensionUniqueName="[Range]" displayFolder="" count="2" memberValueDatatype="7" unbalanced="0"/>
    <cacheHierarchy uniqueName="[Range].[Id]" caption="Id" attribute="1" defaultMemberUniqueName="[Range].[Id].[All]" allUniqueName="[Range].[Id].[All]" dimensionUniqueName="[Range]" displayFolder="" count="2" memberValueDatatype="130" unbalanced="0"/>
    <cacheHierarchy uniqueName="[Range].[Income Source]" caption="Income Source" attribute="1" defaultMemberUniqueName="[Range].[Income Source].[All]" allUniqueName="[Range].[Income Source].[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Monthly Income]" caption="Monthly Income" attribute="1" defaultMemberUniqueName="[Range].[Monthly Income].[All]" allUniqueName="[Range].[Monthly Income].[All]" dimensionUniqueName="[Range]" displayFolder="" count="2" memberValueDatatype="2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1].[Date]" caption="Date" attribute="1" time="1" defaultMemberUniqueName="[Range1].[Date].[All]" allUniqueName="[Range1].[Date].[All]" dimensionUniqueName="[Range1]" displayFolder="" count="2" memberValueDatatype="7" unbalanced="0"/>
    <cacheHierarchy uniqueName="[Range1].[Month]" caption="Month" attribute="1" defaultMemberUniqueName="[Range1].[Month].[All]" allUniqueName="[Range1].[Month].[All]" dimensionUniqueName="[Range1]" displayFolder="" count="2" memberValueDatatype="130" unbalanced="0"/>
    <cacheHierarchy uniqueName="[Range1].[Expense Category]" caption="Expense Category" attribute="1" defaultMemberUniqueName="[Range1].[Expense Category].[All]" allUniqueName="[Range1].[Expense Category].[All]" dimensionUniqueName="[Range1]" displayFolder="" count="2" memberValueDatatype="130" unbalanced="0"/>
    <cacheHierarchy uniqueName="[Range1].[Expense Amount]" caption="Expense Amount" attribute="1" defaultMemberUniqueName="[Range1].[Expense Amount].[All]" allUniqueName="[Range1].[Expense Amount].[All]" dimensionUniqueName="[Range1]" displayFolder="" count="2" memberValueDatatype="20" unbalanced="0"/>
    <cacheHierarchy uniqueName="[Range1].[Payment Method]" caption="Payment Method" attribute="1" defaultMemberUniqueName="[Range1].[Payment Method].[All]" allUniqueName="[Range1].[Payment Method].[All]" dimensionUniqueName="[Range1]" displayFolder="" count="2" memberValueDatatype="130" unbalanced="0"/>
    <cacheHierarchy uniqueName="[Range2].[Category]" caption="Category" attribute="1" defaultMemberUniqueName="[Range2].[Category].[All]" allUniqueName="[Range2].[Category].[All]" dimensionUniqueName="[Range2]" displayFolder="" count="2" memberValueDatatype="130" unbalanced="0">
      <fieldsUsage count="2">
        <fieldUsage x="-1"/>
        <fieldUsage x="0"/>
      </fieldsUsage>
    </cacheHierarchy>
    <cacheHierarchy uniqueName="[Range2].[Monthly Budget]" caption="Monthly Budget" attribute="1" defaultMemberUniqueName="[Range2].[Monthly Budget].[All]" allUniqueName="[Range2].[Monthly Budget].[All]" dimensionUniqueName="[Range2]" displayFolder="" count="2" memberValueDatatype="20" unbalanced="0"/>
    <cacheHierarchy uniqueName="[Range2].[Actual Expense]" caption="Actual Expense" attribute="1" defaultMemberUniqueName="[Range2].[Actual Expense].[All]" allUniqueName="[Range2].[Actual Expense].[All]" dimensionUniqueName="[Range2]" displayFolder="" count="2" memberValueDatatype="2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4"/>
        </ext>
      </extLst>
    </cacheHierarchy>
    <cacheHierarchy uniqueName="[Measures].[Sum of Expense Amount]" caption="Sum of Expense Amount" measure="1" displayFolder="" measureGroup="Range1" count="0" hidden="1">
      <extLst>
        <ext xmlns:x15="http://schemas.microsoft.com/office/spreadsheetml/2010/11/main" uri="{B97F6D7D-B522-45F9-BDA1-12C45D357490}">
          <x15:cacheHierarchy aggregatedColumn="9"/>
        </ext>
      </extLst>
    </cacheHierarchy>
    <cacheHierarchy uniqueName="[Measures].[Sum of Monthly Budget]" caption="Sum of Monthly Budget" measure="1" displayFolder="" measureGroup="Range2"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ctual Expense]" caption="Sum of Actual Expense" measure="1" displayFolder="" measureGroup="Range2"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istrator" refreshedDate="46161.178405092593" backgroundQuery="1" createdVersion="3" refreshedVersion="6"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20">
    <cacheHierarchy uniqueName="[Range].[Date]" caption="Date" attribute="1" time="1" defaultMemberUniqueName="[Range].[Date].[All]" allUniqueName="[Range].[Date].[All]" dimensionUniqueName="[Range]" displayFolder="" count="0" memberValueDatatype="7" unbalanced="0"/>
    <cacheHierarchy uniqueName="[Range].[Id]" caption="Id" attribute="1" defaultMemberUniqueName="[Range].[Id].[All]" allUniqueName="[Range].[Id].[All]" dimensionUniqueName="[Range]" displayFolder="" count="0" memberValueDatatype="130" unbalanced="0"/>
    <cacheHierarchy uniqueName="[Range].[Income Source]" caption="Income Source" attribute="1" defaultMemberUniqueName="[Range].[Income Source].[All]" allUniqueName="[Range].[Income Sourc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Monthly Income]" caption="Monthly Income" attribute="1" defaultMemberUniqueName="[Range].[Monthly Income].[All]" allUniqueName="[Range].[Monthly Income].[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1].[Date]" caption="Date" attribute="1" time="1" defaultMemberUniqueName="[Range1].[Date].[All]" allUniqueName="[Range1].[Date].[All]" dimensionUniqueName="[Range1]" displayFolder="" count="0" memberValueDatatype="7" unbalanced="0"/>
    <cacheHierarchy uniqueName="[Range1].[Month]" caption="Month" attribute="1" defaultMemberUniqueName="[Range1].[Month].[All]" allUniqueName="[Range1].[Month].[All]" dimensionUniqueName="[Range1]" displayFolder="" count="0" memberValueDatatype="130" unbalanced="0"/>
    <cacheHierarchy uniqueName="[Range1].[Expense Category]" caption="Expense Category" attribute="1" defaultMemberUniqueName="[Range1].[Expense Category].[All]" allUniqueName="[Range1].[Expense Category].[All]" dimensionUniqueName="[Range1]" displayFolder="" count="0" memberValueDatatype="130" unbalanced="0"/>
    <cacheHierarchy uniqueName="[Range1].[Expense Amount]" caption="Expense Amount" attribute="1" defaultMemberUniqueName="[Range1].[Expense Amount].[All]" allUniqueName="[Range1].[Expense Amount].[All]" dimensionUniqueName="[Range1]" displayFolder="" count="0" memberValueDatatype="20" unbalanced="0"/>
    <cacheHierarchy uniqueName="[Range1].[Payment Method]" caption="Payment Method" attribute="1" defaultMemberUniqueName="[Range1].[Payment Method].[All]" allUniqueName="[Range1].[Payment Method].[All]" dimensionUniqueName="[Range1]" displayFolder="" count="0" memberValueDatatype="130" unbalanced="0"/>
    <cacheHierarchy uniqueName="[Range2].[Category]" caption="Category" attribute="1" defaultMemberUniqueName="[Range2].[Category].[All]" allUniqueName="[Range2].[Category].[All]" dimensionUniqueName="[Range2]" displayFolder="" count="2" memberValueDatatype="130" unbalanced="0"/>
    <cacheHierarchy uniqueName="[Range2].[Monthly Budget]" caption="Monthly Budget" attribute="1" defaultMemberUniqueName="[Range2].[Monthly Budget].[All]" allUniqueName="[Range2].[Monthly Budget].[All]" dimensionUniqueName="[Range2]" displayFolder="" count="2" memberValueDatatype="20" unbalanced="0"/>
    <cacheHierarchy uniqueName="[Range2].[Actual Expense]" caption="Actual Expense" attribute="1" defaultMemberUniqueName="[Range2].[Actual Expense].[All]" allUniqueName="[Range2].[Actual Expense].[All]" dimensionUniqueName="[Range2]" displayFolder="" count="0" memberValueDatatype="2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4"/>
        </ext>
      </extLst>
    </cacheHierarchy>
    <cacheHierarchy uniqueName="[Measures].[Sum of Expense Amount]" caption="Sum of Expense Amount" measure="1" displayFolder="" measureGroup="Range1"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2">
  <location ref="A3:B16" firstHeaderRow="1" firstDataRow="1" firstDataCol="1"/>
  <pivotFields count="2">
    <pivotField axis="axisRow" allDrilled="1" showAll="0" sortType="ascending" defaultAttributeDrillState="1">
      <items count="13">
        <item x="4"/>
        <item x="3"/>
        <item x="7"/>
        <item x="0"/>
        <item x="8"/>
        <item x="6"/>
        <item x="5"/>
        <item x="1"/>
        <item x="11"/>
        <item x="10"/>
        <item x="9"/>
        <item x="2"/>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Monthly Income" fld="1" baseField="0" baseItem="0" numFmtId="165"/>
  </dataFields>
  <formats count="36">
    <format dxfId="190">
      <pivotArea type="all" dataOnly="0" outline="0" fieldPosition="0"/>
    </format>
    <format dxfId="189">
      <pivotArea outline="0" collapsedLevelsAreSubtotals="1" fieldPosition="0"/>
    </format>
    <format dxfId="188">
      <pivotArea field="0" type="button" dataOnly="0" labelOnly="1" outline="0" axis="axisRow" fieldPosition="0"/>
    </format>
    <format dxfId="187">
      <pivotArea dataOnly="0" labelOnly="1" outline="0" axis="axisValues" fieldPosition="0"/>
    </format>
    <format dxfId="186">
      <pivotArea dataOnly="0" labelOnly="1" fieldPosition="0">
        <references count="1">
          <reference field="0" count="0"/>
        </references>
      </pivotArea>
    </format>
    <format dxfId="185">
      <pivotArea dataOnly="0" labelOnly="1" grandRow="1" outline="0" fieldPosition="0"/>
    </format>
    <format dxfId="184">
      <pivotArea dataOnly="0" labelOnly="1" outline="0" axis="axisValues" fieldPosition="0"/>
    </format>
    <format dxfId="183">
      <pivotArea type="all" dataOnly="0" outline="0" fieldPosition="0"/>
    </format>
    <format dxfId="182">
      <pivotArea outline="0" collapsedLevelsAreSubtotals="1" fieldPosition="0"/>
    </format>
    <format dxfId="181">
      <pivotArea field="0" type="button" dataOnly="0" labelOnly="1" outline="0" axis="axisRow" fieldPosition="0"/>
    </format>
    <format dxfId="180">
      <pivotArea dataOnly="0" labelOnly="1" outline="0" axis="axisValues" fieldPosition="0"/>
    </format>
    <format dxfId="179">
      <pivotArea dataOnly="0" labelOnly="1" fieldPosition="0">
        <references count="1">
          <reference field="0" count="0"/>
        </references>
      </pivotArea>
    </format>
    <format dxfId="178">
      <pivotArea dataOnly="0" labelOnly="1" grandRow="1" outline="0" fieldPosition="0"/>
    </format>
    <format dxfId="177">
      <pivotArea dataOnly="0" labelOnly="1" outline="0" axis="axisValues" fieldPosition="0"/>
    </format>
    <format dxfId="176">
      <pivotArea field="0" type="button" dataOnly="0" labelOnly="1" outline="0" axis="axisRow" fieldPosition="0"/>
    </format>
    <format dxfId="175">
      <pivotArea dataOnly="0" labelOnly="1" outline="0" axis="axisValues" fieldPosition="0"/>
    </format>
    <format dxfId="174">
      <pivotArea dataOnly="0" labelOnly="1" outline="0" axis="axisValues" fieldPosition="0"/>
    </format>
    <format dxfId="173">
      <pivotArea field="0" type="button" dataOnly="0" labelOnly="1" outline="0" axis="axisRow" fieldPosition="0"/>
    </format>
    <format dxfId="172">
      <pivotArea dataOnly="0" labelOnly="1" outline="0" axis="axisValues" fieldPosition="0"/>
    </format>
    <format dxfId="171">
      <pivotArea dataOnly="0" labelOnly="1" outline="0" axis="axisValues" fieldPosition="0"/>
    </format>
    <format dxfId="170">
      <pivotArea grandRow="1" outline="0" collapsedLevelsAreSubtotals="1" fieldPosition="0"/>
    </format>
    <format dxfId="169">
      <pivotArea dataOnly="0" labelOnly="1" grandRow="1" outline="0" fieldPosition="0"/>
    </format>
    <format dxfId="168">
      <pivotArea grandRow="1" outline="0" collapsedLevelsAreSubtotals="1" fieldPosition="0"/>
    </format>
    <format dxfId="167">
      <pivotArea dataOnly="0" labelOnly="1" grandRow="1" outline="0" fieldPosition="0"/>
    </format>
    <format dxfId="166">
      <pivotArea collapsedLevelsAreSubtotals="1" fieldPosition="0">
        <references count="1">
          <reference field="0" count="0"/>
        </references>
      </pivotArea>
    </format>
    <format dxfId="165">
      <pivotArea dataOnly="0" labelOnly="1" fieldPosition="0">
        <references count="1">
          <reference field="0" count="0"/>
        </references>
      </pivotArea>
    </format>
    <format dxfId="164">
      <pivotArea outline="0" collapsedLevelsAreSubtotals="1" fieldPosition="0"/>
    </format>
    <format dxfId="163">
      <pivotArea outline="0" collapsedLevelsAreSubtotals="1" fieldPosition="0"/>
    </format>
    <format dxfId="162">
      <pivotArea outline="0" collapsedLevelsAreSubtotals="1" fieldPosition="0"/>
    </format>
    <format dxfId="161">
      <pivotArea type="all" dataOnly="0" outline="0" fieldPosition="0"/>
    </format>
    <format dxfId="160">
      <pivotArea outline="0" collapsedLevelsAreSubtotals="1" fieldPosition="0"/>
    </format>
    <format dxfId="159">
      <pivotArea field="0" type="button" dataOnly="0" labelOnly="1" outline="0" axis="axisRow" fieldPosition="0"/>
    </format>
    <format dxfId="158">
      <pivotArea dataOnly="0" labelOnly="1" outline="0" axis="axisValues" fieldPosition="0"/>
    </format>
    <format dxfId="157">
      <pivotArea dataOnly="0" labelOnly="1" fieldPosition="0">
        <references count="1">
          <reference field="0" count="0"/>
        </references>
      </pivotArea>
    </format>
    <format dxfId="156">
      <pivotArea dataOnly="0" labelOnly="1" grandRow="1" outline="0" fieldPosition="0"/>
    </format>
    <format dxfId="155">
      <pivotArea dataOnly="0" labelOnly="1" outline="0" axis="axisValues" fieldPosition="0"/>
    </format>
  </formats>
  <chartFormats count="5">
    <chartFormat chart="6"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come Sheet!$A$2:$F$100">
        <x15:activeTabTopLevelEntity name="[Range]"/>
      </x15:pivotTableUISettings>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7">
  <location ref="A3:B16"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Expense Amount" fld="1" baseField="0" baseItem="0" numFmtId="165"/>
  </dataFields>
  <formats count="29">
    <format dxfId="154">
      <pivotArea type="all" dataOnly="0" outline="0" fieldPosition="0"/>
    </format>
    <format dxfId="153">
      <pivotArea outline="0" collapsedLevelsAreSubtotals="1" fieldPosition="0"/>
    </format>
    <format dxfId="152">
      <pivotArea field="0" type="button" dataOnly="0" labelOnly="1" outline="0" axis="axisRow" fieldPosition="0"/>
    </format>
    <format dxfId="151">
      <pivotArea dataOnly="0" labelOnly="1" outline="0" axis="axisValues" fieldPosition="0"/>
    </format>
    <format dxfId="150">
      <pivotArea dataOnly="0" labelOnly="1" fieldPosition="0">
        <references count="1">
          <reference field="0" count="0"/>
        </references>
      </pivotArea>
    </format>
    <format dxfId="149">
      <pivotArea dataOnly="0" labelOnly="1" grandRow="1" outline="0"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0" type="button" dataOnly="0" labelOnly="1" outline="0" axis="axisRow" fieldPosition="0"/>
    </format>
    <format dxfId="144">
      <pivotArea dataOnly="0" labelOnly="1" outline="0" axis="axisValues" fieldPosition="0"/>
    </format>
    <format dxfId="143">
      <pivotArea dataOnly="0" labelOnly="1" fieldPosition="0">
        <references count="1">
          <reference field="0" count="0"/>
        </references>
      </pivotArea>
    </format>
    <format dxfId="142">
      <pivotArea dataOnly="0" labelOnly="1" grandRow="1" outline="0" fieldPosition="0"/>
    </format>
    <format dxfId="141">
      <pivotArea dataOnly="0" labelOnly="1" outline="0" axis="axisValues" fieldPosition="0"/>
    </format>
    <format dxfId="140">
      <pivotArea field="0" type="button" dataOnly="0" labelOnly="1" outline="0" axis="axisRow" fieldPosition="0"/>
    </format>
    <format dxfId="139">
      <pivotArea dataOnly="0" labelOnly="1" outline="0" axis="axisValues" fieldPosition="0"/>
    </format>
    <format dxfId="138">
      <pivotArea dataOnly="0" labelOnly="1" outline="0" axis="axisValues" fieldPosition="0"/>
    </format>
    <format dxfId="137">
      <pivotArea field="0" type="button" dataOnly="0" labelOnly="1" outline="0" axis="axisRow" fieldPosition="0"/>
    </format>
    <format dxfId="136">
      <pivotArea dataOnly="0" labelOnly="1" outline="0" axis="axisValues" fieldPosition="0"/>
    </format>
    <format dxfId="135">
      <pivotArea dataOnly="0" labelOnly="1" outline="0" axis="axisValues" fieldPosition="0"/>
    </format>
    <format dxfId="134">
      <pivotArea grandRow="1" outline="0" collapsedLevelsAreSubtotals="1" fieldPosition="0"/>
    </format>
    <format dxfId="133">
      <pivotArea dataOnly="0" labelOnly="1" grandRow="1" outline="0" fieldPosition="0"/>
    </format>
    <format dxfId="132">
      <pivotArea grandRow="1" outline="0" collapsedLevelsAreSubtotals="1" fieldPosition="0"/>
    </format>
    <format dxfId="131">
      <pivotArea dataOnly="0" labelOnly="1" grandRow="1" outline="0" fieldPosition="0"/>
    </format>
    <format dxfId="130">
      <pivotArea collapsedLevelsAreSubtotals="1" fieldPosition="0">
        <references count="1">
          <reference field="0" count="0"/>
        </references>
      </pivotArea>
    </format>
    <format dxfId="129">
      <pivotArea dataOnly="0" labelOnly="1" fieldPosition="0">
        <references count="1">
          <reference field="0" count="0"/>
        </references>
      </pivotArea>
    </format>
    <format dxfId="128">
      <pivotArea outline="0" collapsedLevelsAreSubtotals="1" fieldPosition="0"/>
    </format>
    <format dxfId="127">
      <pivotArea outline="0" collapsedLevelsAreSubtotals="1" fieldPosition="0"/>
    </format>
    <format dxfId="126">
      <pivotArea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Range1].[Month].&amp;[April]"/>
        <member name="[Range1].[Month].&amp;[August]"/>
        <member name="[Range1].[Month].&amp;[December]"/>
        <member name="[Range1].[Month].&amp;[February]"/>
        <member name="[Range1].[Month].&amp;[January]"/>
        <member name="[Range1].[Month].&amp;[July]"/>
        <member name="[Range1].[Month].&amp;[June]"/>
        <member name="[Range1].[Month].&amp;[March]"/>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Sheet!$A$2:$E$100">
        <x15:activeTabTopLevelEntity name="[Range1]"/>
      </x15:pivotTableUISettings>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8">
  <location ref="A3:C14" firstHeaderRow="0"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howAll="0"/>
    <pivotField dataField="1"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Monthly Budget" fld="1" baseField="0" baseItem="0" numFmtId="165"/>
    <dataField name="Sum of Actual Expense" fld="2" baseField="0" baseItem="0" numFmtId="165"/>
  </dataFields>
  <formats count="28">
    <format dxfId="120">
      <pivotArea type="all" dataOnly="0" outline="0" fieldPosition="0"/>
    </format>
    <format dxfId="119">
      <pivotArea outline="0" collapsedLevelsAreSubtotals="1" fieldPosition="0"/>
    </format>
    <format dxfId="118">
      <pivotArea field="0" type="button" dataOnly="0" labelOnly="1" outline="0" axis="axisRow" fieldPosition="0"/>
    </format>
    <format dxfId="117">
      <pivotArea dataOnly="0" labelOnly="1" fieldPosition="0">
        <references count="1">
          <reference field="0" count="0"/>
        </references>
      </pivotArea>
    </format>
    <format dxfId="116">
      <pivotArea dataOnly="0" labelOnly="1" grandRow="1" outline="0" fieldPosition="0"/>
    </format>
    <format dxfId="115">
      <pivotArea dataOnly="0" labelOnly="1" outline="0" fieldPosition="0">
        <references count="1">
          <reference field="4294967294" count="2">
            <x v="0"/>
            <x v="1"/>
          </reference>
        </references>
      </pivotArea>
    </format>
    <format dxfId="114">
      <pivotArea type="all" dataOnly="0" outline="0" fieldPosition="0"/>
    </format>
    <format dxfId="113">
      <pivotArea outline="0" collapsedLevelsAreSubtotals="1" fieldPosition="0"/>
    </format>
    <format dxfId="112">
      <pivotArea field="0" type="button" dataOnly="0" labelOnly="1" outline="0" axis="axisRow" fieldPosition="0"/>
    </format>
    <format dxfId="111">
      <pivotArea dataOnly="0" labelOnly="1" fieldPosition="0">
        <references count="1">
          <reference field="0" count="0"/>
        </references>
      </pivotArea>
    </format>
    <format dxfId="110">
      <pivotArea dataOnly="0" labelOnly="1" grandRow="1" outline="0" fieldPosition="0"/>
    </format>
    <format dxfId="109">
      <pivotArea dataOnly="0" labelOnly="1" outline="0" fieldPosition="0">
        <references count="1">
          <reference field="4294967294" count="2">
            <x v="0"/>
            <x v="1"/>
          </reference>
        </references>
      </pivotArea>
    </format>
    <format dxfId="108">
      <pivotArea collapsedLevelsAreSubtotals="1" fieldPosition="0">
        <references count="1">
          <reference field="0" count="0"/>
        </references>
      </pivotArea>
    </format>
    <format dxfId="107">
      <pivotArea dataOnly="0" labelOnly="1" fieldPosition="0">
        <references count="1">
          <reference field="0" count="0"/>
        </references>
      </pivotArea>
    </format>
    <format dxfId="106">
      <pivotArea field="0" type="button" dataOnly="0" labelOnly="1" outline="0" axis="axisRow" fieldPosition="0"/>
    </format>
    <format dxfId="105">
      <pivotArea dataOnly="0" labelOnly="1" outline="0" fieldPosition="0">
        <references count="1">
          <reference field="4294967294" count="2">
            <x v="0"/>
            <x v="1"/>
          </reference>
        </references>
      </pivotArea>
    </format>
    <format dxfId="104">
      <pivotArea field="0" type="button" dataOnly="0" labelOnly="1" outline="0" axis="axisRow" fieldPosition="0"/>
    </format>
    <format dxfId="103">
      <pivotArea dataOnly="0" labelOnly="1" outline="0" fieldPosition="0">
        <references count="1">
          <reference field="4294967294" count="2">
            <x v="0"/>
            <x v="1"/>
          </reference>
        </references>
      </pivotArea>
    </format>
    <format dxfId="102">
      <pivotArea grandRow="1" outline="0" collapsedLevelsAreSubtotals="1" fieldPosition="0"/>
    </format>
    <format dxfId="101">
      <pivotArea dataOnly="0" labelOnly="1" grandRow="1" outline="0" fieldPosition="0"/>
    </format>
    <format dxfId="100">
      <pivotArea grandRow="1" outline="0" collapsedLevelsAreSubtotals="1" fieldPosition="0"/>
    </format>
    <format dxfId="99">
      <pivotArea dataOnly="0" labelOnly="1" grandRow="1" outline="0" fieldPosition="0"/>
    </format>
    <format dxfId="98">
      <pivotArea outline="0" collapsedLevelsAreSubtotals="1" fieldPosition="0">
        <references count="1">
          <reference field="4294967294" count="1" selected="0">
            <x v="0"/>
          </reference>
        </references>
      </pivotArea>
    </format>
    <format dxfId="97">
      <pivotArea outline="0" collapsedLevelsAreSubtotals="1" fieldPosition="0">
        <references count="1">
          <reference field="4294967294" count="1" selected="0">
            <x v="0"/>
          </reference>
        </references>
      </pivotArea>
    </format>
    <format dxfId="96">
      <pivotArea outline="0" collapsedLevelsAreSubtotals="1" fieldPosition="0">
        <references count="1">
          <reference field="4294967294" count="1" selected="0">
            <x v="0"/>
          </reference>
        </references>
      </pivotArea>
    </format>
    <format dxfId="95">
      <pivotArea outline="0" collapsedLevelsAreSubtotals="1" fieldPosition="0">
        <references count="1">
          <reference field="4294967294" count="1" selected="0">
            <x v="1"/>
          </reference>
        </references>
      </pivotArea>
    </format>
    <format dxfId="94">
      <pivotArea outline="0" collapsedLevelsAreSubtotals="1" fieldPosition="0">
        <references count="1">
          <reference field="4294967294" count="1" selected="0">
            <x v="1"/>
          </reference>
        </references>
      </pivotArea>
    </format>
    <format dxfId="93">
      <pivotArea outline="0" collapsedLevelsAreSubtotals="1" fieldPosition="0">
        <references count="1">
          <reference field="4294967294" count="1" selected="0">
            <x v="1"/>
          </reference>
        </references>
      </pivotArea>
    </format>
  </formats>
  <chartFormats count="28">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3"/>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0" format="9">
      <pivotArea type="data" outline="0" fieldPosition="0">
        <references count="2">
          <reference field="4294967294" count="1" selected="0">
            <x v="0"/>
          </reference>
          <reference field="0" count="1" selected="0">
            <x v="5"/>
          </reference>
        </references>
      </pivotArea>
    </chartFormat>
    <chartFormat chart="0" format="10">
      <pivotArea type="data" outline="0" fieldPosition="0">
        <references count="2">
          <reference field="4294967294" count="1" selected="0">
            <x v="0"/>
          </reference>
          <reference field="0" count="1" selected="0">
            <x v="6"/>
          </reference>
        </references>
      </pivotArea>
    </chartFormat>
    <chartFormat chart="0" format="11">
      <pivotArea type="data" outline="0" fieldPosition="0">
        <references count="2">
          <reference field="4294967294" count="1" selected="0">
            <x v="0"/>
          </reference>
          <reference field="0" count="1" selected="0">
            <x v="7"/>
          </reference>
        </references>
      </pivotArea>
    </chartFormat>
    <chartFormat chart="0" format="12">
      <pivotArea type="data" outline="0" fieldPosition="0">
        <references count="2">
          <reference field="4294967294" count="1" selected="0">
            <x v="0"/>
          </reference>
          <reference field="0" count="1" selected="0">
            <x v="8"/>
          </reference>
        </references>
      </pivotArea>
    </chartFormat>
    <chartFormat chart="0" format="13">
      <pivotArea type="data" outline="0" fieldPosition="0">
        <references count="2">
          <reference field="4294967294" count="1" selected="0">
            <x v="0"/>
          </reference>
          <reference field="0" count="1" selected="0">
            <x v="9"/>
          </reference>
        </references>
      </pivotArea>
    </chartFormat>
    <chartFormat chart="0" format="14">
      <pivotArea type="data" outline="0" fieldPosition="0">
        <references count="2">
          <reference field="4294967294" count="1" selected="0">
            <x v="1"/>
          </reference>
          <reference field="0" count="1" selected="0">
            <x v="0"/>
          </reference>
        </references>
      </pivotArea>
    </chartFormat>
    <chartFormat chart="0" format="15">
      <pivotArea type="data" outline="0" fieldPosition="0">
        <references count="2">
          <reference field="4294967294" count="1" selected="0">
            <x v="1"/>
          </reference>
          <reference field="0" count="1" selected="0">
            <x v="1"/>
          </reference>
        </references>
      </pivotArea>
    </chartFormat>
    <chartFormat chart="0" format="16">
      <pivotArea type="data" outline="0" fieldPosition="0">
        <references count="2">
          <reference field="4294967294" count="1" selected="0">
            <x v="1"/>
          </reference>
          <reference field="0" count="1" selected="0">
            <x v="2"/>
          </reference>
        </references>
      </pivotArea>
    </chartFormat>
    <chartFormat chart="0" format="17">
      <pivotArea type="data" outline="0" fieldPosition="0">
        <references count="2">
          <reference field="4294967294" count="1" selected="0">
            <x v="1"/>
          </reference>
          <reference field="0" count="1" selected="0">
            <x v="3"/>
          </reference>
        </references>
      </pivotArea>
    </chartFormat>
    <chartFormat chart="0" format="18">
      <pivotArea type="data" outline="0" fieldPosition="0">
        <references count="2">
          <reference field="4294967294" count="1" selected="0">
            <x v="1"/>
          </reference>
          <reference field="0" count="1" selected="0">
            <x v="4"/>
          </reference>
        </references>
      </pivotArea>
    </chartFormat>
    <chartFormat chart="0" format="19">
      <pivotArea type="data" outline="0" fieldPosition="0">
        <references count="2">
          <reference field="4294967294" count="1" selected="0">
            <x v="1"/>
          </reference>
          <reference field="0" count="1" selected="0">
            <x v="5"/>
          </reference>
        </references>
      </pivotArea>
    </chartFormat>
    <chartFormat chart="0" format="20">
      <pivotArea type="data" outline="0" fieldPosition="0">
        <references count="2">
          <reference field="4294967294" count="1" selected="0">
            <x v="1"/>
          </reference>
          <reference field="0" count="1" selected="0">
            <x v="6"/>
          </reference>
        </references>
      </pivotArea>
    </chartFormat>
    <chartFormat chart="0" format="21">
      <pivotArea type="data" outline="0" fieldPosition="0">
        <references count="2">
          <reference field="4294967294" count="1" selected="0">
            <x v="1"/>
          </reference>
          <reference field="0" count="1" selected="0">
            <x v="7"/>
          </reference>
        </references>
      </pivotArea>
    </chartFormat>
    <chartFormat chart="0" format="22">
      <pivotArea type="data" outline="0" fieldPosition="0">
        <references count="2">
          <reference field="4294967294" count="1" selected="0">
            <x v="1"/>
          </reference>
          <reference field="0" count="1" selected="0">
            <x v="8"/>
          </reference>
        </references>
      </pivotArea>
    </chartFormat>
    <chartFormat chart="0" format="23">
      <pivotArea type="data" outline="0" fieldPosition="0">
        <references count="2">
          <reference field="4294967294" count="1" selected="0">
            <x v="1"/>
          </reference>
          <reference field="0" count="1" selected="0">
            <x v="9"/>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dget Sheet!$D$3:$F$13">
        <x15:activeTabTopLevelEntity name="[Range2]"/>
      </x15:pivotTableUISettings>
    </ext>
  </extLst>
</pivotTableDefinition>
</file>

<file path=xl/pivotTables/pivotTable4.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8">
  <location ref="G3:I14" firstHeaderRow="0"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howAll="0"/>
    <pivotField dataField="1"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Monthly Budget" fld="1" baseField="0" baseItem="0" numFmtId="165"/>
    <dataField name="Sum of Actual Expense" fld="2" baseField="0" baseItem="0" numFmtId="165"/>
  </dataFields>
  <formats count="28">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fieldPosition="0">
        <references count="1">
          <reference field="4294967294" count="2">
            <x v="0"/>
            <x v="1"/>
          </reference>
        </references>
      </pivotArea>
    </format>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 dxfId="15">
      <pivotArea collapsedLevelsAreSubtotals="1" fieldPosition="0">
        <references count="1">
          <reference field="0" count="0"/>
        </references>
      </pivotArea>
    </format>
    <format dxfId="14">
      <pivotArea dataOnly="0" labelOnly="1" fieldPosition="0">
        <references count="1">
          <reference field="0" count="0"/>
        </references>
      </pivotArea>
    </format>
    <format dxfId="13">
      <pivotArea field="0" type="button" dataOnly="0" labelOnly="1" outline="0" axis="axisRow" fieldPosition="0"/>
    </format>
    <format dxfId="12">
      <pivotArea dataOnly="0" labelOnly="1" outline="0" fieldPosition="0">
        <references count="1">
          <reference field="4294967294" count="2">
            <x v="0"/>
            <x v="1"/>
          </reference>
        </references>
      </pivotArea>
    </format>
    <format dxfId="11">
      <pivotArea field="0" type="button" dataOnly="0" labelOnly="1" outline="0" axis="axisRow" fieldPosition="0"/>
    </format>
    <format dxfId="10">
      <pivotArea dataOnly="0" labelOnly="1" outline="0" fieldPosition="0">
        <references count="1">
          <reference field="4294967294" count="2">
            <x v="0"/>
            <x v="1"/>
          </reference>
        </references>
      </pivotArea>
    </format>
    <format dxfId="9">
      <pivotArea grandRow="1" outline="0" collapsedLevelsAreSubtotals="1" fieldPosition="0"/>
    </format>
    <format dxfId="8">
      <pivotArea dataOnly="0" labelOnly="1" grandRow="1" outline="0" fieldPosition="0"/>
    </format>
    <format dxfId="7">
      <pivotArea grandRow="1" outline="0" collapsedLevelsAreSubtotals="1" fieldPosition="0"/>
    </format>
    <format dxfId="6">
      <pivotArea dataOnly="0" labelOnly="1" grandRow="1" outline="0" fieldPosition="0"/>
    </format>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1"/>
          </reference>
        </references>
      </pivotArea>
    </format>
  </formats>
  <chartFormats count="28">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3"/>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0" format="9">
      <pivotArea type="data" outline="0" fieldPosition="0">
        <references count="2">
          <reference field="4294967294" count="1" selected="0">
            <x v="0"/>
          </reference>
          <reference field="0" count="1" selected="0">
            <x v="5"/>
          </reference>
        </references>
      </pivotArea>
    </chartFormat>
    <chartFormat chart="0" format="10">
      <pivotArea type="data" outline="0" fieldPosition="0">
        <references count="2">
          <reference field="4294967294" count="1" selected="0">
            <x v="0"/>
          </reference>
          <reference field="0" count="1" selected="0">
            <x v="6"/>
          </reference>
        </references>
      </pivotArea>
    </chartFormat>
    <chartFormat chart="0" format="11">
      <pivotArea type="data" outline="0" fieldPosition="0">
        <references count="2">
          <reference field="4294967294" count="1" selected="0">
            <x v="0"/>
          </reference>
          <reference field="0" count="1" selected="0">
            <x v="7"/>
          </reference>
        </references>
      </pivotArea>
    </chartFormat>
    <chartFormat chart="0" format="12">
      <pivotArea type="data" outline="0" fieldPosition="0">
        <references count="2">
          <reference field="4294967294" count="1" selected="0">
            <x v="0"/>
          </reference>
          <reference field="0" count="1" selected="0">
            <x v="8"/>
          </reference>
        </references>
      </pivotArea>
    </chartFormat>
    <chartFormat chart="0" format="13">
      <pivotArea type="data" outline="0" fieldPosition="0">
        <references count="2">
          <reference field="4294967294" count="1" selected="0">
            <x v="0"/>
          </reference>
          <reference field="0" count="1" selected="0">
            <x v="9"/>
          </reference>
        </references>
      </pivotArea>
    </chartFormat>
    <chartFormat chart="0" format="14">
      <pivotArea type="data" outline="0" fieldPosition="0">
        <references count="2">
          <reference field="4294967294" count="1" selected="0">
            <x v="1"/>
          </reference>
          <reference field="0" count="1" selected="0">
            <x v="0"/>
          </reference>
        </references>
      </pivotArea>
    </chartFormat>
    <chartFormat chart="0" format="15">
      <pivotArea type="data" outline="0" fieldPosition="0">
        <references count="2">
          <reference field="4294967294" count="1" selected="0">
            <x v="1"/>
          </reference>
          <reference field="0" count="1" selected="0">
            <x v="1"/>
          </reference>
        </references>
      </pivotArea>
    </chartFormat>
    <chartFormat chart="0" format="16">
      <pivotArea type="data" outline="0" fieldPosition="0">
        <references count="2">
          <reference field="4294967294" count="1" selected="0">
            <x v="1"/>
          </reference>
          <reference field="0" count="1" selected="0">
            <x v="2"/>
          </reference>
        </references>
      </pivotArea>
    </chartFormat>
    <chartFormat chart="0" format="17">
      <pivotArea type="data" outline="0" fieldPosition="0">
        <references count="2">
          <reference field="4294967294" count="1" selected="0">
            <x v="1"/>
          </reference>
          <reference field="0" count="1" selected="0">
            <x v="3"/>
          </reference>
        </references>
      </pivotArea>
    </chartFormat>
    <chartFormat chart="0" format="18">
      <pivotArea type="data" outline="0" fieldPosition="0">
        <references count="2">
          <reference field="4294967294" count="1" selected="0">
            <x v="1"/>
          </reference>
          <reference field="0" count="1" selected="0">
            <x v="4"/>
          </reference>
        </references>
      </pivotArea>
    </chartFormat>
    <chartFormat chart="0" format="19">
      <pivotArea type="data" outline="0" fieldPosition="0">
        <references count="2">
          <reference field="4294967294" count="1" selected="0">
            <x v="1"/>
          </reference>
          <reference field="0" count="1" selected="0">
            <x v="5"/>
          </reference>
        </references>
      </pivotArea>
    </chartFormat>
    <chartFormat chart="0" format="20">
      <pivotArea type="data" outline="0" fieldPosition="0">
        <references count="2">
          <reference field="4294967294" count="1" selected="0">
            <x v="1"/>
          </reference>
          <reference field="0" count="1" selected="0">
            <x v="6"/>
          </reference>
        </references>
      </pivotArea>
    </chartFormat>
    <chartFormat chart="0" format="21">
      <pivotArea type="data" outline="0" fieldPosition="0">
        <references count="2">
          <reference field="4294967294" count="1" selected="0">
            <x v="1"/>
          </reference>
          <reference field="0" count="1" selected="0">
            <x v="7"/>
          </reference>
        </references>
      </pivotArea>
    </chartFormat>
    <chartFormat chart="0" format="22">
      <pivotArea type="data" outline="0" fieldPosition="0">
        <references count="2">
          <reference field="4294967294" count="1" selected="0">
            <x v="1"/>
          </reference>
          <reference field="0" count="1" selected="0">
            <x v="8"/>
          </reference>
        </references>
      </pivotArea>
    </chartFormat>
    <chartFormat chart="0" format="23">
      <pivotArea type="data" outline="0" fieldPosition="0">
        <references count="2">
          <reference field="4294967294" count="1" selected="0">
            <x v="1"/>
          </reference>
          <reference field="0" count="1" selected="0">
            <x v="9"/>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dget Sheet!$D$3:$F$13">
        <x15:activeTabTopLevelEntity name="[Range2]"/>
      </x15:pivotTableUISettings>
    </ext>
  </extLst>
</pivotTableDefinition>
</file>

<file path=xl/pivotTables/pivotTable5.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7">
  <location ref="D3:E16"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Expense Amount" fld="1" baseField="0" baseItem="0" numFmtId="165"/>
  </dataFields>
  <formats count="29">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outline="0" axis="axisValues" fieldPosition="0"/>
    </format>
    <format dxfId="52">
      <pivotArea dataOnly="0" labelOnly="1" fieldPosition="0">
        <references count="1">
          <reference field="0"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outline="0" axis="axisValues"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outline="0" axis="axisValues" fieldPosition="0"/>
    </format>
    <format dxfId="42">
      <pivotArea field="0" type="button" dataOnly="0" labelOnly="1" outline="0" axis="axisRow" fieldPosition="0"/>
    </format>
    <format dxfId="41">
      <pivotArea dataOnly="0" labelOnly="1" outline="0" axis="axisValues" fieldPosition="0"/>
    </format>
    <format dxfId="40">
      <pivotArea dataOnly="0" labelOnly="1" outline="0" axis="axisValues" fieldPosition="0"/>
    </format>
    <format dxfId="39">
      <pivotArea field="0" type="button" dataOnly="0" labelOnly="1" outline="0" axis="axisRow" fieldPosition="0"/>
    </format>
    <format dxfId="38">
      <pivotArea dataOnly="0" labelOnly="1" outline="0" axis="axisValues" fieldPosition="0"/>
    </format>
    <format dxfId="37">
      <pivotArea dataOnly="0" labelOnly="1" outline="0" axis="axisValues" fieldPosition="0"/>
    </format>
    <format dxfId="36">
      <pivotArea grandRow="1" outline="0" collapsedLevelsAreSubtotals="1" fieldPosition="0"/>
    </format>
    <format dxfId="35">
      <pivotArea dataOnly="0" labelOnly="1" grandRow="1" outline="0" fieldPosition="0"/>
    </format>
    <format dxfId="34">
      <pivotArea grandRow="1" outline="0" collapsedLevelsAreSubtotals="1" fieldPosition="0"/>
    </format>
    <format dxfId="33">
      <pivotArea dataOnly="0" labelOnly="1" grandRow="1" outline="0" fieldPosition="0"/>
    </format>
    <format dxfId="32">
      <pivotArea collapsedLevelsAreSubtotals="1" fieldPosition="0">
        <references count="1">
          <reference field="0" count="0"/>
        </references>
      </pivotArea>
    </format>
    <format dxfId="31">
      <pivotArea dataOnly="0" labelOnly="1" fieldPosition="0">
        <references count="1">
          <reference field="0" count="0"/>
        </references>
      </pivotArea>
    </format>
    <format dxfId="30">
      <pivotArea outline="0" collapsedLevelsAreSubtotals="1" fieldPosition="0"/>
    </format>
    <format dxfId="29">
      <pivotArea outline="0" collapsedLevelsAreSubtotals="1" fieldPosition="0"/>
    </format>
    <format dxfId="28">
      <pivotArea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Range1].[Month].&amp;[April]"/>
        <member name="[Range1].[Month].&amp;[August]"/>
        <member name="[Range1].[Month].&amp;[December]"/>
        <member name="[Range1].[Month].&amp;[February]"/>
        <member name="[Range1].[Month].&amp;[January]"/>
        <member name="[Range1].[Month].&amp;[July]"/>
        <member name="[Range1].[Month].&amp;[June]"/>
        <member name="[Range1].[Month].&amp;[March]"/>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Sheet!$A$2:$E$100">
        <x15:activeTabTopLevelEntity name="[Range1]"/>
      </x15:pivotTableUISettings>
    </ext>
  </extLst>
</pivotTableDefinition>
</file>

<file path=xl/pivotTables/pivotTable6.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2">
  <location ref="A3:B16" firstHeaderRow="1" firstDataRow="1" firstDataCol="1"/>
  <pivotFields count="2">
    <pivotField axis="axisRow" allDrilled="1" showAll="0" sortType="ascending" defaultAttributeDrillState="1">
      <items count="13">
        <item x="4"/>
        <item x="3"/>
        <item x="7"/>
        <item x="0"/>
        <item x="8"/>
        <item x="6"/>
        <item x="5"/>
        <item x="1"/>
        <item x="11"/>
        <item x="10"/>
        <item x="9"/>
        <item x="2"/>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Monthly Income" fld="1" baseField="0" baseItem="0" numFmtId="165"/>
  </dataFields>
  <formats count="36">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outline="0" axis="axisValues" fieldPosition="0"/>
    </format>
    <format dxfId="88">
      <pivotArea dataOnly="0" labelOnly="1" fieldPosition="0">
        <references count="1">
          <reference field="0" count="0"/>
        </references>
      </pivotArea>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0" type="button" dataOnly="0" labelOnly="1" outline="0" axis="axisRow" fieldPosition="0"/>
    </format>
    <format dxfId="82">
      <pivotArea dataOnly="0" labelOnly="1" outline="0" axis="axisValues" fieldPosition="0"/>
    </format>
    <format dxfId="81">
      <pivotArea dataOnly="0" labelOnly="1" fieldPosition="0">
        <references count="1">
          <reference field="0" count="0"/>
        </references>
      </pivotArea>
    </format>
    <format dxfId="80">
      <pivotArea dataOnly="0" labelOnly="1" grandRow="1" outline="0" fieldPosition="0"/>
    </format>
    <format dxfId="79">
      <pivotArea dataOnly="0" labelOnly="1" outline="0" axis="axisValues" fieldPosition="0"/>
    </format>
    <format dxfId="78">
      <pivotArea field="0" type="button" dataOnly="0" labelOnly="1" outline="0" axis="axisRow" fieldPosition="0"/>
    </format>
    <format dxfId="77">
      <pivotArea dataOnly="0" labelOnly="1" outline="0" axis="axisValues" fieldPosition="0"/>
    </format>
    <format dxfId="76">
      <pivotArea dataOnly="0" labelOnly="1" outline="0" axis="axisValues" fieldPosition="0"/>
    </format>
    <format dxfId="75">
      <pivotArea field="0" type="button" dataOnly="0" labelOnly="1" outline="0" axis="axisRow" fieldPosition="0"/>
    </format>
    <format dxfId="74">
      <pivotArea dataOnly="0" labelOnly="1" outline="0" axis="axisValues" fieldPosition="0"/>
    </format>
    <format dxfId="73">
      <pivotArea dataOnly="0" labelOnly="1" outline="0" axis="axisValues" fieldPosition="0"/>
    </format>
    <format dxfId="72">
      <pivotArea grandRow="1" outline="0" collapsedLevelsAreSubtotals="1" fieldPosition="0"/>
    </format>
    <format dxfId="71">
      <pivotArea dataOnly="0" labelOnly="1" grandRow="1" outline="0" fieldPosition="0"/>
    </format>
    <format dxfId="70">
      <pivotArea grandRow="1" outline="0" collapsedLevelsAreSubtotals="1" fieldPosition="0"/>
    </format>
    <format dxfId="69">
      <pivotArea dataOnly="0" labelOnly="1" grandRow="1" outline="0" fieldPosition="0"/>
    </format>
    <format dxfId="68">
      <pivotArea collapsedLevelsAreSubtotals="1" fieldPosition="0">
        <references count="1">
          <reference field="0" count="0"/>
        </references>
      </pivotArea>
    </format>
    <format dxfId="67">
      <pivotArea dataOnly="0" labelOnly="1" fieldPosition="0">
        <references count="1">
          <reference field="0" count="0"/>
        </references>
      </pivotArea>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field="0" type="button" dataOnly="0" labelOnly="1" outline="0" axis="axisRow" fieldPosition="0"/>
    </format>
    <format dxfId="60">
      <pivotArea dataOnly="0" labelOnly="1" outline="0" axis="axisValues"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outline="0" axis="axisValues" fieldPosition="0"/>
    </format>
  </formats>
  <chartFormats count="5">
    <chartFormat chart="6"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come Sheet!$A$2:$F$100">
        <x15:activeTabTopLevelEntity name="[Range]"/>
      </x15:pivotTableUISettings>
    </ext>
  </extLst>
</pivotTableDefinition>
</file>

<file path=xl/queryTables/queryTable1.xml><?xml version="1.0" encoding="utf-8"?>
<queryTable xmlns="http://schemas.openxmlformats.org/spreadsheetml/2006/main" name="ExternalData_1" connectionId="2" autoFormatId="16" applyNumberFormats="0" applyBorderFormats="0" applyFontFormats="0" applyPatternFormats="0" applyAlignmentFormats="0" applyWidthHeightFormats="0">
  <queryTableRefresh nextId="16">
    <queryTableFields count="15">
      <queryTableField id="1" name="Transaction_ID" tableColumnId="1"/>
      <queryTableField id="2" name="Date" tableColumnId="2"/>
      <queryTableField id="3" name="Month" tableColumnId="3"/>
      <queryTableField id="4" name="Person_Name" tableColumnId="4"/>
      <queryTableField id="5" name="Age" tableColumnId="5"/>
      <queryTableField id="6" name="City" tableColumnId="6"/>
      <queryTableField id="7" name="Income_Source" tableColumnId="7"/>
      <queryTableField id="8" name="Monthly_Income" tableColumnId="8"/>
      <queryTableField id="9" name="Expense_Category" tableColumnId="9"/>
      <queryTableField id="10" name="Expense_Amount" tableColumnId="10"/>
      <queryTableField id="11" name="Payment_Method" tableColumnId="11"/>
      <queryTableField id="12" name="Savings" tableColumnId="12"/>
      <queryTableField id="13" name="Loan_EMI" tableColumnId="13"/>
      <queryTableField id="14" name="Credit_Score" tableColumnId="14"/>
      <queryTableField id="15" name="Financial_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ncome_Source" sourceName="[Range].[Income Source]">
  <pivotTables>
    <pivotTable tabId="21" name="PivotTable1"/>
    <pivotTable tabId="25" name="PivotTable1"/>
  </pivotTables>
  <data>
    <olap pivotCacheId="1">
      <levels count="2">
        <level uniqueName="[Range].[Income Source].[(All)]" sourceCaption="(All)" count="0"/>
        <level uniqueName="[Range].[Income Source].[Income Source]" sourceCaption="Income Source" count="6">
          <ranges>
            <range startItem="0">
              <i n="[Range].[Income Source].&amp;[ Salary]" c=" Salary"/>
              <i n="[Range].[Income Source].&amp;[Business]" c="Business"/>
              <i n="[Range].[Income Source].&amp;[Freelancing]" c="Freelancing"/>
              <i n="[Range].[Income Source].&amp;[Internship]" c="Internship"/>
              <i n="[Range].[Income Source].&amp;[Salary]" c="Salary"/>
              <i n="[Range].[Income Source].&amp;[Unknown]" c="Unknown"/>
            </range>
          </ranges>
        </level>
      </levels>
      <selections count="1">
        <selection n="[Range].[Income Sour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Range].[Payment Method]">
  <pivotTables>
    <pivotTable tabId="21" name="PivotTable1"/>
    <pivotTable tabId="25" name="PivotTable1"/>
  </pivotTables>
  <data>
    <olap pivotCacheId="1">
      <levels count="2">
        <level uniqueName="[Range].[Payment Method].[(All)]" sourceCaption="(All)" count="0"/>
        <level uniqueName="[Range].[Payment Method].[Payment Method]" sourceCaption="Payment Method" count="6">
          <ranges>
            <range startItem="0">
              <i n="[Range].[Payment Method].&amp;[Card]" c="Card"/>
              <i n="[Range].[Payment Method].&amp;[Cash]" c="Cash"/>
              <i n="[Range].[Payment Method].&amp;[Cash/UPI]" c="Cash/UPI"/>
              <i n="[Range].[Payment Method].&amp;[Cheque]" c="Cheque"/>
              <i n="[Range].[Payment Method].&amp;[NetBanking]" c="NetBanking"/>
              <i n="[Range].[Payment Method].&amp;[UPI]" c="UPI"/>
            </range>
          </ranges>
        </level>
      </levels>
      <selections count="1">
        <selection n="[Range].[Payment 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Range1].[Month]">
  <pivotTables>
    <pivotTable tabId="22" name="PivotTable2"/>
    <pivotTable tabId="25" name="PivotTable2"/>
  </pivotTables>
  <data>
    <olap pivotCacheId="1">
      <levels count="2">
        <level uniqueName="[Range1].[Month].[(All)]" sourceCaption="(All)" count="0"/>
        <level uniqueName="[Range1].[Month].[Month]" sourceCaption="Month" count="12">
          <ranges>
            <range startItem="0">
              <i n="[Range1].[Month].&amp;[April]" c="April"/>
              <i n="[Range1].[Month].&amp;[August]" c="August"/>
              <i n="[Range1].[Month].&amp;[December]" c="December"/>
              <i n="[Range1].[Month].&amp;[February]" c="February"/>
              <i n="[Range1].[Month].&amp;[January]" c="January"/>
              <i n="[Range1].[Month].&amp;[July]" c="July"/>
              <i n="[Range1].[Month].&amp;[June]" c="June"/>
              <i n="[Range1].[Month].&amp;[March]" c="March"/>
              <i n="[Range1].[Month].&amp;[May]" c="May"/>
              <i n="[Range1].[Month].&amp;[November]" c="November"/>
              <i n="[Range1].[Month].&amp;[October]" c="October"/>
              <i n="[Range1].[Month].&amp;[September]" c="September"/>
            </range>
          </ranges>
        </level>
      </levels>
      <selections count="8">
        <selection n="[Range1].[Month].&amp;[April]"/>
        <selection n="[Range1].[Month].&amp;[August]"/>
        <selection n="[Range1].[Month].&amp;[December]"/>
        <selection n="[Range1].[Month].&amp;[February]"/>
        <selection n="[Range1].[Month].&amp;[January]"/>
        <selection n="[Range1].[Month].&amp;[July]"/>
        <selection n="[Range1].[Month].&amp;[June]"/>
        <selection n="[Range1].[Month].&amp;[March]"/>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ethod1" sourceName="[Range1].[Payment Method]">
  <pivotTables>
    <pivotTable tabId="22" name="PivotTable2"/>
    <pivotTable tabId="25" name="PivotTable2"/>
  </pivotTables>
  <data>
    <olap pivotCacheId="1">
      <levels count="2">
        <level uniqueName="[Range1].[Payment Method].[(All)]" sourceCaption="(All)" count="0"/>
        <level uniqueName="[Range1].[Payment Method].[Payment Method]" sourceCaption="Payment Method" count="6">
          <ranges>
            <range startItem="0">
              <i n="[Range1].[Payment Method].&amp;[Card]" c="Card"/>
              <i n="[Range1].[Payment Method].&amp;[Cash]" c="Cash"/>
              <i n="[Range1].[Payment Method].&amp;[Cash/UPI]" c="Cash/UPI"/>
              <i n="[Range1].[Payment Method].&amp;[Cheque]" c="Cheque"/>
              <i n="[Range1].[Payment Method].&amp;[NetBanking]" c="NetBanking"/>
              <i n="[Range1].[Payment Method].&amp;[UPI]" c="UPI"/>
            </range>
          </ranges>
        </level>
      </levels>
      <selections count="1">
        <selection n="[Range1].[Payment Metho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ategory" sourceName="[Range2].[Category]">
  <pivotTables>
    <pivotTable tabId="23" name="PivotTable3"/>
    <pivotTable tabId="25" name="PivotTable3"/>
  </pivotTables>
  <data>
    <olap pivotCacheId="1">
      <levels count="2">
        <level uniqueName="[Range2].[Category].[(All)]" sourceCaption="(All)" count="0"/>
        <level uniqueName="[Range2].[Category].[Category]" sourceCaption="Category" count="10">
          <ranges>
            <range startItem="0">
              <i n="[Range2].[Category].&amp;[Education]" c="Education"/>
              <i n="[Range2].[Category].&amp;[Entertainment]" c="Entertainment"/>
              <i n="[Range2].[Category].&amp;[Food]" c="Food"/>
              <i n="[Range2].[Category].&amp;[Groceries]" c="Groceries"/>
              <i n="[Range2].[Category].&amp;[Healthcare]" c="Healthcare"/>
              <i n="[Range2].[Category].&amp;[Investment]" c="Investment"/>
              <i n="[Range2].[Category].&amp;[Rent]" c="Rent"/>
              <i n="[Range2].[Category].&amp;[Shopping]" c="Shopping"/>
              <i n="[Range2].[Category].&amp;[Transport]" c="Transport"/>
              <i n="[Range2].[Category].&amp;[Utilities]" c="Utilities"/>
            </range>
          </ranges>
        </level>
      </levels>
      <selections count="1">
        <selection n="[Range2].[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ncome Source" cache="Slicer_Income_Source" caption="Income Source" level="1" style="SlicerStyleDark1" rowHeight="241300"/>
  <slicer name="Payment Method" cache="Slicer_Payment_Method" caption="Payment Method"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cache="Slicer_Month" caption="Month" level="1" style="SlicerStyleDark1" rowHeight="241300"/>
  <slicer name="Payment Method 1" cache="Slicer_Payment_Method1" caption="Payment Method" level="1"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Transaction_ID_Date_Month_Person_Na3" displayName="Transaction_ID_Date_Month_Person_Na3" ref="A2:O100" tableType="queryTable" totalsRowShown="0" headerRowDxfId="207" dataDxfId="206">
  <tableColumns count="15">
    <tableColumn id="1" uniqueName="1" name="Id" queryTableFieldId="1" dataDxfId="205"/>
    <tableColumn id="2" uniqueName="2" name="Date" queryTableFieldId="2" dataDxfId="204"/>
    <tableColumn id="3" uniqueName="3" name="Month" queryTableFieldId="3" dataDxfId="203"/>
    <tableColumn id="4" uniqueName="4" name="Person Name" queryTableFieldId="4" dataDxfId="202"/>
    <tableColumn id="5" uniqueName="5" name="Age" queryTableFieldId="5" dataDxfId="201"/>
    <tableColumn id="6" uniqueName="6" name="City" queryTableFieldId="6" dataDxfId="200"/>
    <tableColumn id="7" uniqueName="7" name="Income Source" queryTableFieldId="7" dataDxfId="199"/>
    <tableColumn id="8" uniqueName="8" name="Monthly Income" queryTableFieldId="8" dataDxfId="198"/>
    <tableColumn id="9" uniqueName="9" name="ExpenseCategory" queryTableFieldId="9" dataDxfId="197"/>
    <tableColumn id="10" uniqueName="10" name="Expense Amount" queryTableFieldId="10" dataDxfId="196"/>
    <tableColumn id="11" uniqueName="11" name="Payment Method" queryTableFieldId="11" dataDxfId="195"/>
    <tableColumn id="12" uniqueName="12" name="Savings" queryTableFieldId="12" dataDxfId="194"/>
    <tableColumn id="13" uniqueName="13" name="Loan EMI" queryTableFieldId="13" dataDxfId="193"/>
    <tableColumn id="14" uniqueName="14" name="Credit Score" queryTableFieldId="14" dataDxfId="192"/>
    <tableColumn id="15" uniqueName="15" name="Financial Status" queryTableFieldId="15" dataDxfId="191"/>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showGridLines="0" tabSelected="1" topLeftCell="A4" zoomScale="130" zoomScaleNormal="130" workbookViewId="0">
      <selection activeCell="H9" sqref="A1:XFD1048576"/>
    </sheetView>
  </sheetViews>
  <sheetFormatPr defaultRowHeight="15" x14ac:dyDescent="0.25"/>
  <cols>
    <col min="1" max="1" width="3" customWidth="1"/>
  </cols>
  <sheetData>
    <row r="1" spans="1:15" x14ac:dyDescent="0.25">
      <c r="A1" s="69" t="s">
        <v>330</v>
      </c>
      <c r="B1" s="69"/>
      <c r="C1" s="69"/>
      <c r="D1" s="69"/>
      <c r="E1" s="69"/>
      <c r="F1" s="69"/>
      <c r="G1" s="69"/>
      <c r="H1" s="69"/>
      <c r="I1" s="69"/>
      <c r="J1" s="69"/>
      <c r="K1" s="69"/>
      <c r="L1" s="69"/>
      <c r="M1" s="69"/>
      <c r="N1" s="69"/>
      <c r="O1" s="70"/>
    </row>
    <row r="2" spans="1:15" x14ac:dyDescent="0.25">
      <c r="A2" s="69"/>
      <c r="B2" s="69"/>
      <c r="C2" s="69"/>
      <c r="D2" s="69"/>
      <c r="E2" s="69"/>
      <c r="F2" s="69"/>
      <c r="G2" s="69"/>
      <c r="H2" s="69"/>
      <c r="I2" s="69"/>
      <c r="J2" s="69"/>
      <c r="K2" s="69"/>
      <c r="L2" s="69"/>
      <c r="M2" s="69"/>
      <c r="N2" s="69"/>
      <c r="O2" s="70"/>
    </row>
    <row r="3" spans="1:15" ht="18.75" x14ac:dyDescent="0.3">
      <c r="A3" s="71" t="s">
        <v>331</v>
      </c>
      <c r="B3" s="71"/>
      <c r="C3" s="71"/>
      <c r="D3" s="71"/>
      <c r="E3" s="71"/>
      <c r="F3" s="71"/>
      <c r="G3" s="71"/>
      <c r="H3" s="71"/>
      <c r="I3" s="71"/>
      <c r="J3" s="71"/>
      <c r="K3" s="71"/>
      <c r="L3" s="71"/>
      <c r="M3" s="71"/>
      <c r="N3" s="71"/>
      <c r="O3" s="72"/>
    </row>
    <row r="4" spans="1:15" ht="18.75" x14ac:dyDescent="0.3">
      <c r="A4" s="73" t="s">
        <v>332</v>
      </c>
      <c r="B4" s="73"/>
      <c r="C4" s="73"/>
      <c r="D4" s="73"/>
      <c r="E4" s="73"/>
      <c r="F4" s="73"/>
      <c r="G4" s="73"/>
      <c r="H4" s="73"/>
      <c r="I4" s="73"/>
      <c r="J4" s="73"/>
      <c r="K4" s="73"/>
      <c r="L4" s="73"/>
      <c r="M4" s="73"/>
      <c r="N4" s="73"/>
      <c r="O4" s="74"/>
    </row>
    <row r="6" spans="1:15" ht="18.75" x14ac:dyDescent="0.3">
      <c r="B6" s="63" t="s">
        <v>333</v>
      </c>
      <c r="C6" s="63"/>
      <c r="D6" s="63"/>
      <c r="E6" s="63"/>
      <c r="F6" s="63"/>
      <c r="G6" s="63"/>
      <c r="J6" s="63" t="s">
        <v>339</v>
      </c>
      <c r="K6" s="63"/>
      <c r="L6" s="63"/>
      <c r="M6" s="63"/>
      <c r="N6" s="63"/>
      <c r="O6" s="63"/>
    </row>
    <row r="7" spans="1:15" x14ac:dyDescent="0.25">
      <c r="B7" s="64" t="s">
        <v>334</v>
      </c>
      <c r="C7" s="64"/>
      <c r="D7" s="64"/>
      <c r="E7" s="64"/>
      <c r="F7" s="64"/>
      <c r="G7" s="64"/>
      <c r="J7" s="64" t="s">
        <v>344</v>
      </c>
      <c r="K7" s="64"/>
      <c r="L7" s="64"/>
      <c r="M7" s="64"/>
      <c r="N7" s="64"/>
      <c r="O7" s="64"/>
    </row>
    <row r="9" spans="1:15" ht="18.75" x14ac:dyDescent="0.3">
      <c r="B9" s="63" t="s">
        <v>335</v>
      </c>
      <c r="C9" s="63"/>
      <c r="D9" s="63"/>
      <c r="E9" s="63"/>
      <c r="F9" s="63"/>
      <c r="G9" s="63"/>
      <c r="J9" s="65" t="s">
        <v>340</v>
      </c>
      <c r="K9" s="65"/>
      <c r="L9" s="65"/>
      <c r="M9" s="65"/>
      <c r="N9" s="65"/>
      <c r="O9" s="65"/>
    </row>
    <row r="10" spans="1:15" x14ac:dyDescent="0.25">
      <c r="B10" s="64" t="s">
        <v>342</v>
      </c>
      <c r="C10" s="64"/>
      <c r="D10" s="64"/>
      <c r="E10" s="64"/>
      <c r="F10" s="64"/>
      <c r="G10" s="64"/>
      <c r="J10" s="64" t="s">
        <v>346</v>
      </c>
      <c r="K10" s="64"/>
      <c r="L10" s="64"/>
      <c r="M10" s="64"/>
      <c r="N10" s="64"/>
      <c r="O10" s="64"/>
    </row>
    <row r="12" spans="1:15" ht="18.75" x14ac:dyDescent="0.3">
      <c r="B12" s="63" t="s">
        <v>337</v>
      </c>
      <c r="C12" s="63"/>
      <c r="D12" s="63"/>
      <c r="E12" s="63"/>
      <c r="F12" s="63"/>
      <c r="G12" s="63"/>
      <c r="J12" s="63" t="s">
        <v>338</v>
      </c>
      <c r="K12" s="63"/>
      <c r="L12" s="63"/>
      <c r="M12" s="63"/>
      <c r="N12" s="63"/>
      <c r="O12" s="63"/>
    </row>
    <row r="13" spans="1:15" x14ac:dyDescent="0.25">
      <c r="B13" s="64" t="s">
        <v>343</v>
      </c>
      <c r="C13" s="64"/>
      <c r="D13" s="64"/>
      <c r="E13" s="64"/>
      <c r="F13" s="64"/>
      <c r="G13" s="64"/>
      <c r="J13" s="64" t="s">
        <v>344</v>
      </c>
      <c r="K13" s="64"/>
      <c r="L13" s="64"/>
      <c r="M13" s="64"/>
      <c r="N13" s="64"/>
      <c r="O13" s="64"/>
    </row>
    <row r="15" spans="1:15" ht="18.75" x14ac:dyDescent="0.3">
      <c r="B15" s="63" t="s">
        <v>336</v>
      </c>
      <c r="C15" s="63"/>
      <c r="D15" s="63"/>
      <c r="E15" s="63"/>
      <c r="F15" s="63"/>
      <c r="G15" s="63"/>
      <c r="J15" s="63" t="s">
        <v>341</v>
      </c>
      <c r="K15" s="63"/>
      <c r="L15" s="63"/>
      <c r="M15" s="63"/>
      <c r="N15" s="63"/>
      <c r="O15" s="63"/>
    </row>
    <row r="16" spans="1:15" x14ac:dyDescent="0.25">
      <c r="B16" s="64" t="s">
        <v>345</v>
      </c>
      <c r="C16" s="64"/>
      <c r="D16" s="64"/>
      <c r="E16" s="64"/>
      <c r="F16" s="64"/>
      <c r="G16" s="64"/>
      <c r="J16" s="64" t="s">
        <v>347</v>
      </c>
      <c r="K16" s="64"/>
      <c r="L16" s="64"/>
      <c r="M16" s="64"/>
      <c r="N16" s="64"/>
      <c r="O16" s="64"/>
    </row>
    <row r="18" spans="2:14" x14ac:dyDescent="0.25">
      <c r="B18" s="66"/>
      <c r="C18" s="68"/>
      <c r="D18" s="68"/>
      <c r="E18" s="68"/>
      <c r="F18" s="68"/>
      <c r="G18" s="68"/>
      <c r="H18" s="4"/>
      <c r="I18" s="66"/>
      <c r="J18" s="66"/>
      <c r="K18" s="66"/>
      <c r="L18" s="66"/>
      <c r="M18" s="66"/>
      <c r="N18" s="66"/>
    </row>
    <row r="19" spans="2:14" x14ac:dyDescent="0.25">
      <c r="B19" s="67"/>
      <c r="C19" s="67"/>
      <c r="D19" s="67"/>
      <c r="E19" s="67"/>
      <c r="F19" s="67"/>
      <c r="G19" s="67"/>
      <c r="H19" s="4"/>
      <c r="I19" s="67"/>
      <c r="J19" s="67"/>
      <c r="K19" s="67"/>
      <c r="L19" s="67"/>
      <c r="M19" s="67"/>
      <c r="N19" s="67"/>
    </row>
  </sheetData>
  <mergeCells count="23">
    <mergeCell ref="I18:N18"/>
    <mergeCell ref="I19:N19"/>
    <mergeCell ref="B18:G18"/>
    <mergeCell ref="B19:G19"/>
    <mergeCell ref="A1:O2"/>
    <mergeCell ref="A3:O3"/>
    <mergeCell ref="A4:O4"/>
    <mergeCell ref="B6:G6"/>
    <mergeCell ref="B7:G7"/>
    <mergeCell ref="J6:O6"/>
    <mergeCell ref="J7:O7"/>
    <mergeCell ref="J16:O16"/>
    <mergeCell ref="B9:G9"/>
    <mergeCell ref="B10:G10"/>
    <mergeCell ref="B12:G12"/>
    <mergeCell ref="B13:G13"/>
    <mergeCell ref="B15:G15"/>
    <mergeCell ref="B16:G16"/>
    <mergeCell ref="J9:O9"/>
    <mergeCell ref="J10:O10"/>
    <mergeCell ref="J12:O12"/>
    <mergeCell ref="J13:O13"/>
    <mergeCell ref="J15:O15"/>
  </mergeCells>
  <hyperlinks>
    <hyperlink ref="B6:G6" location="'Raw Data'!A1" display="📄 RAW DATA"/>
    <hyperlink ref="B9:G9" location="'Cleaning Tasks'!A1" display="🧹 CLEANING TASKS"/>
    <hyperlink ref="B12:G12" location="'Cleaned Data'!A1" display="✅ CLEANED DATA"/>
    <hyperlink ref="B15:G15" location="Dashboard!A1" display="📊 FINAL DASHBOARD"/>
    <hyperlink ref="J6:O6" location="'Pivot Tables'!A1" display="📈 PIVOT TABLES"/>
    <hyperlink ref="J9:O9" location="'Income Sheet'!A1" display="💰 INCOME ANALYSIS "/>
    <hyperlink ref="J12:O12" location="'Expense Sheet'!A1" display="💸 EXPENSE ANALYSIS"/>
    <hyperlink ref="J15:O15" location="'Budget Sheet'!A1" display="🏦 BUDGET ANALYSIS"/>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
  <sheetViews>
    <sheetView zoomScale="84" zoomScaleNormal="84" workbookViewId="0">
      <selection activeCell="D23" sqref="D23"/>
    </sheetView>
  </sheetViews>
  <sheetFormatPr defaultRowHeight="15" x14ac:dyDescent="0.25"/>
  <cols>
    <col min="1" max="1" width="9.28515625" bestFit="1" customWidth="1"/>
    <col min="3" max="3" width="10" bestFit="1" customWidth="1"/>
    <col min="4" max="4" width="15.140625" bestFit="1" customWidth="1"/>
    <col min="5" max="5" width="4.85546875" bestFit="1" customWidth="1"/>
    <col min="7" max="7" width="15.7109375" bestFit="1" customWidth="1"/>
    <col min="8" max="8" width="17.28515625" bestFit="1" customWidth="1"/>
    <col min="9" max="9" width="19.140625" bestFit="1" customWidth="1"/>
    <col min="10" max="10" width="18" bestFit="1" customWidth="1"/>
    <col min="11" max="11" width="17.85546875" bestFit="1" customWidth="1"/>
    <col min="13" max="13" width="11.28515625" bestFit="1" customWidth="1"/>
    <col min="14" max="14" width="13.5703125" bestFit="1" customWidth="1"/>
    <col min="15" max="15" width="16.5703125" bestFit="1" customWidth="1"/>
  </cols>
  <sheetData>
    <row r="1" spans="1:15" ht="25.5" x14ac:dyDescent="0.35">
      <c r="A1" s="75" t="s">
        <v>271</v>
      </c>
      <c r="B1" s="75"/>
      <c r="C1" s="75"/>
      <c r="D1" s="75"/>
      <c r="E1" s="75"/>
      <c r="F1" s="75"/>
      <c r="G1" s="75"/>
      <c r="H1" s="75"/>
      <c r="I1" s="75"/>
      <c r="J1" s="75"/>
      <c r="K1" s="75"/>
      <c r="L1" s="75"/>
      <c r="M1" s="75"/>
      <c r="N1" s="75"/>
      <c r="O1" s="75"/>
    </row>
    <row r="2" spans="1:15" x14ac:dyDescent="0.25">
      <c r="A2" s="10" t="s">
        <v>244</v>
      </c>
      <c r="B2" s="10" t="s">
        <v>3</v>
      </c>
      <c r="C2" s="10" t="s">
        <v>10</v>
      </c>
      <c r="D2" s="10" t="s">
        <v>267</v>
      </c>
      <c r="E2" s="10" t="s">
        <v>11</v>
      </c>
      <c r="F2" s="10" t="s">
        <v>12</v>
      </c>
      <c r="G2" s="10" t="s">
        <v>268</v>
      </c>
      <c r="H2" s="10" t="s">
        <v>259</v>
      </c>
      <c r="I2" s="10" t="s">
        <v>272</v>
      </c>
      <c r="J2" s="10" t="s">
        <v>270</v>
      </c>
      <c r="K2" s="10" t="s">
        <v>269</v>
      </c>
      <c r="L2" s="10" t="s">
        <v>13</v>
      </c>
      <c r="M2" s="10" t="s">
        <v>264</v>
      </c>
      <c r="N2" s="10" t="s">
        <v>273</v>
      </c>
      <c r="O2" s="10" t="s">
        <v>274</v>
      </c>
    </row>
    <row r="3" spans="1:15" x14ac:dyDescent="0.25">
      <c r="A3" s="35" t="s">
        <v>14</v>
      </c>
      <c r="B3" s="36">
        <v>45659</v>
      </c>
      <c r="C3" s="35" t="s">
        <v>15</v>
      </c>
      <c r="D3" s="35" t="s">
        <v>16</v>
      </c>
      <c r="E3" s="35">
        <v>29</v>
      </c>
      <c r="F3" s="35" t="s">
        <v>17</v>
      </c>
      <c r="G3" s="35" t="s">
        <v>4</v>
      </c>
      <c r="H3" s="35">
        <v>65000</v>
      </c>
      <c r="I3" s="35" t="s">
        <v>5</v>
      </c>
      <c r="J3" s="35">
        <v>18000</v>
      </c>
      <c r="K3" s="35" t="s">
        <v>1</v>
      </c>
      <c r="L3" s="35">
        <v>12000</v>
      </c>
      <c r="M3" s="35">
        <v>5000</v>
      </c>
      <c r="N3" s="35">
        <v>742</v>
      </c>
      <c r="O3" s="35" t="s">
        <v>18</v>
      </c>
    </row>
    <row r="4" spans="1:15" x14ac:dyDescent="0.25">
      <c r="A4" s="35" t="s">
        <v>19</v>
      </c>
      <c r="B4" s="36">
        <v>45660</v>
      </c>
      <c r="C4" s="35" t="s">
        <v>105</v>
      </c>
      <c r="D4" s="35" t="s">
        <v>20</v>
      </c>
      <c r="E4" s="35">
        <v>34</v>
      </c>
      <c r="F4" s="35" t="s">
        <v>21</v>
      </c>
      <c r="G4" s="35" t="s">
        <v>22</v>
      </c>
      <c r="H4" s="35">
        <v>72000</v>
      </c>
      <c r="I4" s="35" t="s">
        <v>2</v>
      </c>
      <c r="J4" s="35">
        <v>6500</v>
      </c>
      <c r="K4" s="35" t="s">
        <v>23</v>
      </c>
      <c r="L4" s="35">
        <v>15000</v>
      </c>
      <c r="M4" s="35"/>
      <c r="N4" s="35">
        <v>788</v>
      </c>
      <c r="O4" s="35" t="s">
        <v>24</v>
      </c>
    </row>
    <row r="5" spans="1:15" x14ac:dyDescent="0.25">
      <c r="A5" s="35" t="s">
        <v>25</v>
      </c>
      <c r="B5" s="36">
        <v>45661</v>
      </c>
      <c r="C5" s="35" t="s">
        <v>163</v>
      </c>
      <c r="D5" s="35" t="s">
        <v>26</v>
      </c>
      <c r="E5" s="35">
        <v>26</v>
      </c>
      <c r="F5" s="35"/>
      <c r="G5" s="35" t="s">
        <v>4</v>
      </c>
      <c r="H5" s="35">
        <v>54000</v>
      </c>
      <c r="I5" s="35"/>
      <c r="J5" s="35">
        <v>3200</v>
      </c>
      <c r="K5" s="35" t="s">
        <v>0</v>
      </c>
      <c r="L5" s="35">
        <v>8000</v>
      </c>
      <c r="M5" s="35">
        <v>2500</v>
      </c>
      <c r="N5" s="35">
        <v>689</v>
      </c>
      <c r="O5" s="35" t="s">
        <v>28</v>
      </c>
    </row>
    <row r="6" spans="1:15" x14ac:dyDescent="0.25">
      <c r="A6" s="35" t="s">
        <v>29</v>
      </c>
      <c r="B6" s="36">
        <v>45662</v>
      </c>
      <c r="C6" s="35" t="s">
        <v>222</v>
      </c>
      <c r="D6" s="35" t="s">
        <v>30</v>
      </c>
      <c r="E6" s="35">
        <v>31</v>
      </c>
      <c r="F6" s="35" t="s">
        <v>31</v>
      </c>
      <c r="G6" s="35" t="s">
        <v>32</v>
      </c>
      <c r="H6" s="35">
        <v>98000</v>
      </c>
      <c r="I6" s="35" t="s">
        <v>7</v>
      </c>
      <c r="J6" s="35">
        <v>5400</v>
      </c>
      <c r="K6" s="35" t="s">
        <v>33</v>
      </c>
      <c r="L6" s="35">
        <v>25000</v>
      </c>
      <c r="M6" s="35">
        <v>8000</v>
      </c>
      <c r="N6" s="35">
        <v>801</v>
      </c>
      <c r="O6" s="35" t="s">
        <v>34</v>
      </c>
    </row>
    <row r="7" spans="1:15" x14ac:dyDescent="0.25">
      <c r="A7" s="35" t="s">
        <v>35</v>
      </c>
      <c r="B7" s="36">
        <v>45663</v>
      </c>
      <c r="C7" s="35" t="s">
        <v>246</v>
      </c>
      <c r="D7" s="35" t="s">
        <v>36</v>
      </c>
      <c r="E7" s="35">
        <v>38</v>
      </c>
      <c r="F7" s="35" t="s">
        <v>37</v>
      </c>
      <c r="G7" s="35" t="s">
        <v>4</v>
      </c>
      <c r="H7" s="35">
        <v>85000</v>
      </c>
      <c r="I7" s="35" t="s">
        <v>8</v>
      </c>
      <c r="J7" s="35">
        <v>7600</v>
      </c>
      <c r="K7" s="35" t="s">
        <v>23</v>
      </c>
      <c r="L7" s="35">
        <v>10000</v>
      </c>
      <c r="M7" s="35">
        <v>12000</v>
      </c>
      <c r="N7" s="35">
        <v>655</v>
      </c>
      <c r="O7" s="35" t="s">
        <v>38</v>
      </c>
    </row>
    <row r="8" spans="1:15" x14ac:dyDescent="0.25">
      <c r="A8" s="35" t="s">
        <v>39</v>
      </c>
      <c r="B8" s="36">
        <v>45664</v>
      </c>
      <c r="C8" s="35" t="s">
        <v>247</v>
      </c>
      <c r="D8" s="35" t="s">
        <v>40</v>
      </c>
      <c r="E8" s="35">
        <v>27</v>
      </c>
      <c r="F8" s="35" t="s">
        <v>41</v>
      </c>
      <c r="G8" s="35"/>
      <c r="H8" s="35">
        <v>61000</v>
      </c>
      <c r="I8" s="35" t="s">
        <v>42</v>
      </c>
      <c r="J8" s="35">
        <v>2400</v>
      </c>
      <c r="K8" s="35" t="s">
        <v>1</v>
      </c>
      <c r="L8" s="35">
        <v>17000</v>
      </c>
      <c r="M8" s="35"/>
      <c r="N8" s="35">
        <v>771</v>
      </c>
      <c r="O8" s="35" t="s">
        <v>24</v>
      </c>
    </row>
    <row r="9" spans="1:15" x14ac:dyDescent="0.25">
      <c r="A9" s="35" t="s">
        <v>43</v>
      </c>
      <c r="B9" s="36">
        <v>45665</v>
      </c>
      <c r="C9" s="35" t="s">
        <v>248</v>
      </c>
      <c r="D9" s="35" t="s">
        <v>44</v>
      </c>
      <c r="E9" s="35">
        <v>42</v>
      </c>
      <c r="F9" s="35" t="s">
        <v>45</v>
      </c>
      <c r="G9" s="35" t="s">
        <v>32</v>
      </c>
      <c r="H9" s="35">
        <v>120000</v>
      </c>
      <c r="I9" s="35" t="s">
        <v>5</v>
      </c>
      <c r="J9" s="35">
        <v>25000</v>
      </c>
      <c r="K9" s="35" t="s">
        <v>46</v>
      </c>
      <c r="L9" s="35">
        <v>35000</v>
      </c>
      <c r="M9" s="35">
        <v>18000</v>
      </c>
      <c r="N9" s="35">
        <v>720</v>
      </c>
      <c r="O9" s="35" t="s">
        <v>18</v>
      </c>
    </row>
    <row r="10" spans="1:15" x14ac:dyDescent="0.25">
      <c r="A10" s="35" t="s">
        <v>47</v>
      </c>
      <c r="B10" s="36">
        <v>45666</v>
      </c>
      <c r="C10" s="35" t="s">
        <v>249</v>
      </c>
      <c r="D10" s="35" t="s">
        <v>48</v>
      </c>
      <c r="E10" s="35">
        <v>24</v>
      </c>
      <c r="F10" s="35" t="s">
        <v>17</v>
      </c>
      <c r="G10" s="35" t="s">
        <v>49</v>
      </c>
      <c r="H10" s="35">
        <v>28000</v>
      </c>
      <c r="I10" s="35" t="s">
        <v>50</v>
      </c>
      <c r="J10" s="35">
        <v>4500</v>
      </c>
      <c r="K10" s="35" t="s">
        <v>1</v>
      </c>
      <c r="L10" s="35">
        <v>5000</v>
      </c>
      <c r="M10" s="35"/>
      <c r="N10" s="35">
        <v>690</v>
      </c>
      <c r="O10" s="35" t="s">
        <v>28</v>
      </c>
    </row>
    <row r="11" spans="1:15" x14ac:dyDescent="0.25">
      <c r="A11" s="35" t="s">
        <v>51</v>
      </c>
      <c r="B11" s="36">
        <v>45667</v>
      </c>
      <c r="C11" s="35" t="s">
        <v>250</v>
      </c>
      <c r="D11" s="35" t="s">
        <v>52</v>
      </c>
      <c r="E11" s="35">
        <v>36</v>
      </c>
      <c r="F11" s="35" t="s">
        <v>53</v>
      </c>
      <c r="G11" s="35" t="s">
        <v>4</v>
      </c>
      <c r="H11" s="35">
        <v>76000</v>
      </c>
      <c r="I11" s="35"/>
      <c r="J11" s="35">
        <v>8200</v>
      </c>
      <c r="K11" s="35" t="s">
        <v>23</v>
      </c>
      <c r="L11" s="35">
        <v>14000</v>
      </c>
      <c r="M11" s="35">
        <v>7000</v>
      </c>
      <c r="N11" s="35">
        <v>745</v>
      </c>
      <c r="O11" s="35" t="s">
        <v>18</v>
      </c>
    </row>
    <row r="12" spans="1:15" x14ac:dyDescent="0.25">
      <c r="A12" s="35" t="s">
        <v>55</v>
      </c>
      <c r="B12" s="36">
        <v>45668</v>
      </c>
      <c r="C12" s="35" t="s">
        <v>251</v>
      </c>
      <c r="D12" s="35" t="s">
        <v>56</v>
      </c>
      <c r="E12" s="35">
        <v>30</v>
      </c>
      <c r="F12" s="35" t="s">
        <v>57</v>
      </c>
      <c r="G12" s="35" t="s">
        <v>22</v>
      </c>
      <c r="H12" s="35">
        <v>68000</v>
      </c>
      <c r="I12" s="35" t="s">
        <v>58</v>
      </c>
      <c r="J12" s="35">
        <v>9200</v>
      </c>
      <c r="K12" s="35" t="s">
        <v>1</v>
      </c>
      <c r="L12" s="35">
        <v>11000</v>
      </c>
      <c r="M12" s="35">
        <v>3000</v>
      </c>
      <c r="N12" s="35">
        <v>732</v>
      </c>
      <c r="O12" s="35" t="s">
        <v>24</v>
      </c>
    </row>
    <row r="13" spans="1:15" x14ac:dyDescent="0.25">
      <c r="A13" s="35" t="s">
        <v>59</v>
      </c>
      <c r="B13" s="36">
        <v>45669</v>
      </c>
      <c r="C13" s="35" t="s">
        <v>252</v>
      </c>
      <c r="D13" s="35" t="s">
        <v>60</v>
      </c>
      <c r="E13" s="35">
        <v>45</v>
      </c>
      <c r="F13" s="35" t="s">
        <v>17</v>
      </c>
      <c r="G13" s="35" t="s">
        <v>32</v>
      </c>
      <c r="H13" s="35">
        <v>150000</v>
      </c>
      <c r="I13" s="35" t="s">
        <v>9</v>
      </c>
      <c r="J13" s="35">
        <v>35000</v>
      </c>
      <c r="K13" s="35" t="s">
        <v>33</v>
      </c>
      <c r="L13" s="35">
        <v>40000</v>
      </c>
      <c r="M13" s="35">
        <v>20000</v>
      </c>
      <c r="N13" s="35">
        <v>810</v>
      </c>
      <c r="O13" s="35" t="s">
        <v>34</v>
      </c>
    </row>
    <row r="14" spans="1:15" x14ac:dyDescent="0.25">
      <c r="A14" s="35" t="s">
        <v>61</v>
      </c>
      <c r="B14" s="36">
        <v>45670</v>
      </c>
      <c r="C14" s="35" t="s">
        <v>253</v>
      </c>
      <c r="D14" s="35" t="s">
        <v>62</v>
      </c>
      <c r="E14" s="35">
        <v>28</v>
      </c>
      <c r="F14" s="35" t="s">
        <v>27</v>
      </c>
      <c r="G14" s="35"/>
      <c r="H14" s="35">
        <v>59000</v>
      </c>
      <c r="I14" s="35" t="s">
        <v>63</v>
      </c>
      <c r="J14" s="35">
        <v>5800</v>
      </c>
      <c r="K14" s="35"/>
      <c r="L14" s="35">
        <v>9000</v>
      </c>
      <c r="M14" s="35">
        <v>2500</v>
      </c>
      <c r="N14" s="35">
        <v>704</v>
      </c>
      <c r="O14" s="35" t="s">
        <v>18</v>
      </c>
    </row>
    <row r="15" spans="1:15" x14ac:dyDescent="0.25">
      <c r="A15" s="35" t="s">
        <v>64</v>
      </c>
      <c r="B15" s="36">
        <v>45671</v>
      </c>
      <c r="C15" s="35" t="s">
        <v>15</v>
      </c>
      <c r="D15" s="35" t="s">
        <v>65</v>
      </c>
      <c r="E15" s="35">
        <v>33</v>
      </c>
      <c r="F15" s="35"/>
      <c r="G15" s="35" t="s">
        <v>4</v>
      </c>
      <c r="H15" s="35">
        <v>71000</v>
      </c>
      <c r="I15" s="35" t="s">
        <v>5</v>
      </c>
      <c r="J15" s="35">
        <v>21000</v>
      </c>
      <c r="K15" s="35" t="s">
        <v>1</v>
      </c>
      <c r="L15" s="35">
        <v>13000</v>
      </c>
      <c r="M15" s="35">
        <v>6000</v>
      </c>
      <c r="N15" s="35">
        <v>740</v>
      </c>
      <c r="O15" s="35" t="s">
        <v>24</v>
      </c>
    </row>
    <row r="16" spans="1:15" x14ac:dyDescent="0.25">
      <c r="A16" s="35" t="s">
        <v>66</v>
      </c>
      <c r="B16" s="36">
        <v>45672</v>
      </c>
      <c r="C16" s="35" t="s">
        <v>105</v>
      </c>
      <c r="D16" s="35" t="s">
        <v>67</v>
      </c>
      <c r="E16" s="35">
        <v>25</v>
      </c>
      <c r="F16" s="35" t="s">
        <v>41</v>
      </c>
      <c r="G16" s="35" t="s">
        <v>22</v>
      </c>
      <c r="H16" s="35">
        <v>47000</v>
      </c>
      <c r="I16" s="35" t="s">
        <v>8</v>
      </c>
      <c r="J16" s="35">
        <v>4200</v>
      </c>
      <c r="K16" s="35" t="s">
        <v>23</v>
      </c>
      <c r="L16" s="35">
        <v>7000</v>
      </c>
      <c r="M16" s="35"/>
      <c r="N16" s="35">
        <v>681</v>
      </c>
      <c r="O16" s="35" t="s">
        <v>28</v>
      </c>
    </row>
    <row r="17" spans="1:15" x14ac:dyDescent="0.25">
      <c r="A17" s="35" t="s">
        <v>68</v>
      </c>
      <c r="B17" s="36">
        <v>45673</v>
      </c>
      <c r="C17" s="35" t="s">
        <v>163</v>
      </c>
      <c r="D17" s="35" t="s">
        <v>69</v>
      </c>
      <c r="E17" s="35">
        <v>39</v>
      </c>
      <c r="F17" s="35" t="s">
        <v>31</v>
      </c>
      <c r="G17" s="35" t="s">
        <v>32</v>
      </c>
      <c r="H17" s="35">
        <v>132000</v>
      </c>
      <c r="I17" s="35" t="s">
        <v>42</v>
      </c>
      <c r="J17" s="35">
        <v>6800</v>
      </c>
      <c r="K17" s="35" t="s">
        <v>33</v>
      </c>
      <c r="L17" s="35">
        <v>30000</v>
      </c>
      <c r="M17" s="35">
        <v>15000</v>
      </c>
      <c r="N17" s="35">
        <v>790</v>
      </c>
      <c r="O17" s="35" t="s">
        <v>34</v>
      </c>
    </row>
    <row r="18" spans="1:15" x14ac:dyDescent="0.25">
      <c r="A18" s="35" t="s">
        <v>70</v>
      </c>
      <c r="B18" s="36">
        <v>45674</v>
      </c>
      <c r="C18" s="35" t="s">
        <v>222</v>
      </c>
      <c r="D18" s="35" t="s">
        <v>71</v>
      </c>
      <c r="E18" s="35">
        <v>29</v>
      </c>
      <c r="F18" s="35" t="s">
        <v>27</v>
      </c>
      <c r="G18" s="35" t="s">
        <v>4</v>
      </c>
      <c r="H18" s="35">
        <v>62000</v>
      </c>
      <c r="I18" s="35" t="s">
        <v>2</v>
      </c>
      <c r="J18" s="35">
        <v>5900</v>
      </c>
      <c r="K18" s="35" t="s">
        <v>1</v>
      </c>
      <c r="L18" s="35">
        <v>12000</v>
      </c>
      <c r="M18" s="35">
        <v>3000</v>
      </c>
      <c r="N18" s="35">
        <v>725</v>
      </c>
      <c r="O18" s="35" t="s">
        <v>24</v>
      </c>
    </row>
    <row r="19" spans="1:15" x14ac:dyDescent="0.25">
      <c r="A19" s="35" t="s">
        <v>72</v>
      </c>
      <c r="B19" s="36">
        <v>45675</v>
      </c>
      <c r="C19" s="35" t="s">
        <v>246</v>
      </c>
      <c r="D19" s="35" t="s">
        <v>73</v>
      </c>
      <c r="E19" s="35">
        <v>35</v>
      </c>
      <c r="F19" s="35" t="s">
        <v>21</v>
      </c>
      <c r="G19" s="35" t="s">
        <v>4</v>
      </c>
      <c r="H19" s="35">
        <v>81000</v>
      </c>
      <c r="I19" s="35" t="s">
        <v>6</v>
      </c>
      <c r="J19" s="35">
        <v>4100</v>
      </c>
      <c r="K19" s="35" t="s">
        <v>0</v>
      </c>
      <c r="L19" s="35">
        <v>16000</v>
      </c>
      <c r="M19" s="35">
        <v>9000</v>
      </c>
      <c r="N19" s="35">
        <v>710</v>
      </c>
      <c r="O19" s="35" t="s">
        <v>18</v>
      </c>
    </row>
    <row r="20" spans="1:15" x14ac:dyDescent="0.25">
      <c r="A20" s="35" t="s">
        <v>74</v>
      </c>
      <c r="B20" s="36">
        <v>45676</v>
      </c>
      <c r="C20" s="35" t="s">
        <v>247</v>
      </c>
      <c r="D20" s="35" t="s">
        <v>75</v>
      </c>
      <c r="E20" s="35">
        <v>27</v>
      </c>
      <c r="F20" s="35" t="s">
        <v>76</v>
      </c>
      <c r="G20" s="35" t="s">
        <v>22</v>
      </c>
      <c r="H20" s="35">
        <v>56000</v>
      </c>
      <c r="I20" s="35"/>
      <c r="J20" s="35">
        <v>9700</v>
      </c>
      <c r="K20" s="35" t="s">
        <v>23</v>
      </c>
      <c r="L20" s="35">
        <v>8500</v>
      </c>
      <c r="M20" s="35"/>
      <c r="N20" s="35">
        <v>699</v>
      </c>
      <c r="O20" s="35" t="s">
        <v>28</v>
      </c>
    </row>
    <row r="21" spans="1:15" x14ac:dyDescent="0.25">
      <c r="A21" s="35" t="s">
        <v>77</v>
      </c>
      <c r="B21" s="36">
        <v>45677</v>
      </c>
      <c r="C21" s="35" t="s">
        <v>248</v>
      </c>
      <c r="D21" s="35" t="s">
        <v>78</v>
      </c>
      <c r="E21" s="35">
        <v>41</v>
      </c>
      <c r="F21" s="35" t="s">
        <v>27</v>
      </c>
      <c r="G21" s="35" t="s">
        <v>32</v>
      </c>
      <c r="H21" s="35">
        <v>145000</v>
      </c>
      <c r="I21" s="35" t="s">
        <v>7</v>
      </c>
      <c r="J21" s="35">
        <v>7800</v>
      </c>
      <c r="K21" s="35" t="s">
        <v>46</v>
      </c>
      <c r="L21" s="35">
        <v>42000</v>
      </c>
      <c r="M21" s="35">
        <v>25000</v>
      </c>
      <c r="N21" s="35">
        <v>805</v>
      </c>
      <c r="O21" s="35" t="s">
        <v>34</v>
      </c>
    </row>
    <row r="22" spans="1:15" x14ac:dyDescent="0.25">
      <c r="A22" s="35" t="s">
        <v>79</v>
      </c>
      <c r="B22" s="36">
        <v>45678</v>
      </c>
      <c r="C22" s="35" t="s">
        <v>249</v>
      </c>
      <c r="D22" s="35" t="s">
        <v>80</v>
      </c>
      <c r="E22" s="35">
        <v>32</v>
      </c>
      <c r="F22" s="35" t="s">
        <v>81</v>
      </c>
      <c r="G22" s="35" t="s">
        <v>4</v>
      </c>
      <c r="H22" s="35">
        <v>69000</v>
      </c>
      <c r="I22" s="35" t="s">
        <v>63</v>
      </c>
      <c r="J22" s="35">
        <v>6300</v>
      </c>
      <c r="K22" s="35" t="s">
        <v>1</v>
      </c>
      <c r="L22" s="35">
        <v>10000</v>
      </c>
      <c r="M22" s="35">
        <v>4500</v>
      </c>
      <c r="N22" s="35">
        <v>730</v>
      </c>
      <c r="O22" s="35" t="s">
        <v>24</v>
      </c>
    </row>
    <row r="23" spans="1:15" x14ac:dyDescent="0.25">
      <c r="A23" s="35" t="s">
        <v>82</v>
      </c>
      <c r="B23" s="36">
        <v>45679</v>
      </c>
      <c r="C23" s="35" t="s">
        <v>250</v>
      </c>
      <c r="D23" s="35" t="s">
        <v>83</v>
      </c>
      <c r="E23" s="35">
        <v>37</v>
      </c>
      <c r="F23" s="35" t="s">
        <v>84</v>
      </c>
      <c r="G23" s="35" t="s">
        <v>4</v>
      </c>
      <c r="H23" s="35">
        <v>57000</v>
      </c>
      <c r="I23" s="35" t="s">
        <v>5</v>
      </c>
      <c r="J23" s="35">
        <v>16000</v>
      </c>
      <c r="K23" s="35" t="s">
        <v>0</v>
      </c>
      <c r="L23" s="35">
        <v>6000</v>
      </c>
      <c r="M23" s="35">
        <v>5500</v>
      </c>
      <c r="N23" s="35">
        <v>670</v>
      </c>
      <c r="O23" s="35" t="s">
        <v>38</v>
      </c>
    </row>
    <row r="24" spans="1:15" x14ac:dyDescent="0.25">
      <c r="A24" s="35" t="s">
        <v>85</v>
      </c>
      <c r="B24" s="36">
        <v>45680</v>
      </c>
      <c r="C24" s="35" t="s">
        <v>251</v>
      </c>
      <c r="D24" s="35" t="s">
        <v>86</v>
      </c>
      <c r="E24" s="35">
        <v>26</v>
      </c>
      <c r="F24" s="35" t="s">
        <v>87</v>
      </c>
      <c r="G24" s="35" t="s">
        <v>22</v>
      </c>
      <c r="H24" s="35">
        <v>52000</v>
      </c>
      <c r="I24" s="35" t="s">
        <v>58</v>
      </c>
      <c r="J24" s="35">
        <v>7600</v>
      </c>
      <c r="K24" s="35" t="s">
        <v>23</v>
      </c>
      <c r="L24" s="35">
        <v>9000</v>
      </c>
      <c r="M24" s="35"/>
      <c r="N24" s="35">
        <v>715</v>
      </c>
      <c r="O24" s="35" t="s">
        <v>18</v>
      </c>
    </row>
    <row r="25" spans="1:15" x14ac:dyDescent="0.25">
      <c r="A25" s="35" t="s">
        <v>88</v>
      </c>
      <c r="B25" s="36">
        <v>45681</v>
      </c>
      <c r="C25" s="35" t="s">
        <v>252</v>
      </c>
      <c r="D25" s="35" t="s">
        <v>89</v>
      </c>
      <c r="E25" s="35">
        <v>40</v>
      </c>
      <c r="F25" s="35"/>
      <c r="G25" s="35"/>
      <c r="H25" s="35">
        <v>125000</v>
      </c>
      <c r="I25" s="35" t="s">
        <v>9</v>
      </c>
      <c r="J25" s="35">
        <v>28000</v>
      </c>
      <c r="K25" s="35" t="s">
        <v>33</v>
      </c>
      <c r="L25" s="35">
        <v>37000</v>
      </c>
      <c r="M25" s="35">
        <v>12000</v>
      </c>
      <c r="N25" s="35">
        <v>798</v>
      </c>
      <c r="O25" s="35" t="s">
        <v>34</v>
      </c>
    </row>
    <row r="26" spans="1:15" x14ac:dyDescent="0.25">
      <c r="A26" s="35" t="s">
        <v>90</v>
      </c>
      <c r="B26" s="36">
        <v>45682</v>
      </c>
      <c r="C26" s="35" t="s">
        <v>253</v>
      </c>
      <c r="D26" s="35" t="s">
        <v>91</v>
      </c>
      <c r="E26" s="35">
        <v>31</v>
      </c>
      <c r="F26" s="35" t="s">
        <v>17</v>
      </c>
      <c r="G26" s="35" t="s">
        <v>4</v>
      </c>
      <c r="H26" s="35">
        <v>74000</v>
      </c>
      <c r="I26" s="35" t="s">
        <v>50</v>
      </c>
      <c r="J26" s="35">
        <v>5300</v>
      </c>
      <c r="K26" s="35" t="s">
        <v>1</v>
      </c>
      <c r="L26" s="35">
        <v>15000</v>
      </c>
      <c r="M26" s="35">
        <v>5000</v>
      </c>
      <c r="N26" s="35">
        <v>750</v>
      </c>
      <c r="O26" s="35" t="s">
        <v>24</v>
      </c>
    </row>
    <row r="27" spans="1:15" x14ac:dyDescent="0.25">
      <c r="A27" s="35" t="s">
        <v>92</v>
      </c>
      <c r="B27" s="36">
        <v>45683</v>
      </c>
      <c r="C27" s="35" t="s">
        <v>15</v>
      </c>
      <c r="D27" s="35" t="s">
        <v>93</v>
      </c>
      <c r="E27" s="35">
        <v>28</v>
      </c>
      <c r="F27" s="35" t="s">
        <v>27</v>
      </c>
      <c r="G27" s="35" t="s">
        <v>4</v>
      </c>
      <c r="H27" s="35">
        <v>63000</v>
      </c>
      <c r="I27" s="35"/>
      <c r="J27" s="35">
        <v>8600</v>
      </c>
      <c r="K27" s="35" t="s">
        <v>23</v>
      </c>
      <c r="L27" s="35">
        <v>11000</v>
      </c>
      <c r="M27" s="35">
        <v>3500</v>
      </c>
      <c r="N27" s="35">
        <v>721</v>
      </c>
      <c r="O27" s="35" t="s">
        <v>18</v>
      </c>
    </row>
    <row r="28" spans="1:15" x14ac:dyDescent="0.25">
      <c r="A28" s="35" t="s">
        <v>191</v>
      </c>
      <c r="B28" s="36">
        <v>45733</v>
      </c>
      <c r="C28" s="35" t="s">
        <v>105</v>
      </c>
      <c r="D28" s="35" t="s">
        <v>192</v>
      </c>
      <c r="E28" s="35">
        <v>36</v>
      </c>
      <c r="F28" s="35" t="s">
        <v>17</v>
      </c>
      <c r="G28" s="35" t="s">
        <v>4</v>
      </c>
      <c r="H28" s="35">
        <v>81000</v>
      </c>
      <c r="I28" s="35" t="s">
        <v>54</v>
      </c>
      <c r="J28" s="35">
        <v>9400</v>
      </c>
      <c r="K28" s="35" t="s">
        <v>1</v>
      </c>
      <c r="L28" s="35">
        <v>17000</v>
      </c>
      <c r="M28" s="35">
        <v>8500</v>
      </c>
      <c r="N28" s="35">
        <v>743</v>
      </c>
      <c r="O28" s="35" t="s">
        <v>24</v>
      </c>
    </row>
    <row r="29" spans="1:15" x14ac:dyDescent="0.25">
      <c r="A29" s="35" t="s">
        <v>193</v>
      </c>
      <c r="B29" s="36">
        <v>45734</v>
      </c>
      <c r="C29" s="35" t="s">
        <v>163</v>
      </c>
      <c r="D29" s="35" t="s">
        <v>194</v>
      </c>
      <c r="E29" s="35">
        <v>27</v>
      </c>
      <c r="F29" s="35" t="s">
        <v>41</v>
      </c>
      <c r="G29" s="35" t="s">
        <v>22</v>
      </c>
      <c r="H29" s="35">
        <v>55000</v>
      </c>
      <c r="I29" s="35" t="s">
        <v>63</v>
      </c>
      <c r="J29" s="35">
        <v>5200</v>
      </c>
      <c r="K29" s="35" t="s">
        <v>23</v>
      </c>
      <c r="L29" s="35">
        <v>8000</v>
      </c>
      <c r="M29" s="35"/>
      <c r="N29" s="35">
        <v>701</v>
      </c>
      <c r="O29" s="35" t="s">
        <v>18</v>
      </c>
    </row>
    <row r="30" spans="1:15" x14ac:dyDescent="0.25">
      <c r="A30" s="35" t="s">
        <v>195</v>
      </c>
      <c r="B30" s="36">
        <v>45735</v>
      </c>
      <c r="C30" s="35" t="s">
        <v>222</v>
      </c>
      <c r="D30" s="35" t="s">
        <v>196</v>
      </c>
      <c r="E30" s="35">
        <v>43</v>
      </c>
      <c r="F30" s="35" t="s">
        <v>27</v>
      </c>
      <c r="G30" s="35" t="s">
        <v>32</v>
      </c>
      <c r="H30" s="35">
        <v>149000</v>
      </c>
      <c r="I30" s="35" t="s">
        <v>9</v>
      </c>
      <c r="J30" s="35">
        <v>41000</v>
      </c>
      <c r="K30" s="35" t="s">
        <v>46</v>
      </c>
      <c r="L30" s="35">
        <v>50000</v>
      </c>
      <c r="M30" s="35">
        <v>23000</v>
      </c>
      <c r="N30" s="35">
        <v>815</v>
      </c>
      <c r="O30" s="35" t="s">
        <v>34</v>
      </c>
    </row>
    <row r="31" spans="1:15" x14ac:dyDescent="0.25">
      <c r="A31" s="35" t="s">
        <v>197</v>
      </c>
      <c r="B31" s="36">
        <v>45736</v>
      </c>
      <c r="C31" s="35" t="s">
        <v>246</v>
      </c>
      <c r="D31" s="35" t="s">
        <v>198</v>
      </c>
      <c r="E31" s="35">
        <v>30</v>
      </c>
      <c r="F31" s="35" t="s">
        <v>17</v>
      </c>
      <c r="G31" s="35" t="s">
        <v>4</v>
      </c>
      <c r="H31" s="35">
        <v>72000</v>
      </c>
      <c r="I31" s="35" t="s">
        <v>7</v>
      </c>
      <c r="J31" s="35">
        <v>6300</v>
      </c>
      <c r="K31" s="35" t="s">
        <v>1</v>
      </c>
      <c r="L31" s="35">
        <v>14500</v>
      </c>
      <c r="M31" s="35">
        <v>3500</v>
      </c>
      <c r="N31" s="35">
        <v>735</v>
      </c>
      <c r="O31" s="35" t="s">
        <v>24</v>
      </c>
    </row>
    <row r="32" spans="1:15" x14ac:dyDescent="0.25">
      <c r="A32" s="35" t="s">
        <v>199</v>
      </c>
      <c r="B32" s="36">
        <v>45737</v>
      </c>
      <c r="C32" s="35" t="s">
        <v>247</v>
      </c>
      <c r="D32" s="35" t="s">
        <v>200</v>
      </c>
      <c r="E32" s="35">
        <v>28</v>
      </c>
      <c r="F32" s="35" t="s">
        <v>27</v>
      </c>
      <c r="G32" s="35" t="s">
        <v>4</v>
      </c>
      <c r="H32" s="35">
        <v>65000</v>
      </c>
      <c r="I32" s="35" t="s">
        <v>6</v>
      </c>
      <c r="J32" s="35">
        <v>4800</v>
      </c>
      <c r="K32" s="35" t="s">
        <v>0</v>
      </c>
      <c r="L32" s="35">
        <v>10000</v>
      </c>
      <c r="M32" s="35">
        <v>4000</v>
      </c>
      <c r="N32" s="35">
        <v>712</v>
      </c>
      <c r="O32" s="35" t="s">
        <v>18</v>
      </c>
    </row>
    <row r="33" spans="1:15" x14ac:dyDescent="0.25">
      <c r="A33" s="35" t="s">
        <v>201</v>
      </c>
      <c r="B33" s="36">
        <v>45738</v>
      </c>
      <c r="C33" s="35" t="s">
        <v>248</v>
      </c>
      <c r="D33" s="35" t="s">
        <v>202</v>
      </c>
      <c r="E33" s="35">
        <v>25</v>
      </c>
      <c r="F33" s="35" t="s">
        <v>17</v>
      </c>
      <c r="G33" s="35" t="s">
        <v>22</v>
      </c>
      <c r="H33" s="35">
        <v>50000</v>
      </c>
      <c r="I33" s="35" t="s">
        <v>58</v>
      </c>
      <c r="J33" s="35">
        <v>8100</v>
      </c>
      <c r="K33" s="35" t="s">
        <v>23</v>
      </c>
      <c r="L33" s="35">
        <v>6000</v>
      </c>
      <c r="M33" s="35"/>
      <c r="N33" s="35">
        <v>689</v>
      </c>
      <c r="O33" s="35" t="s">
        <v>28</v>
      </c>
    </row>
    <row r="34" spans="1:15" x14ac:dyDescent="0.25">
      <c r="A34" s="35" t="s">
        <v>203</v>
      </c>
      <c r="B34" s="36">
        <v>45739</v>
      </c>
      <c r="C34" s="35" t="s">
        <v>249</v>
      </c>
      <c r="D34" s="35" t="s">
        <v>204</v>
      </c>
      <c r="E34" s="35">
        <v>40</v>
      </c>
      <c r="F34" s="35" t="s">
        <v>21</v>
      </c>
      <c r="G34" s="35"/>
      <c r="H34" s="35">
        <v>137000</v>
      </c>
      <c r="I34" s="35" t="s">
        <v>5</v>
      </c>
      <c r="J34" s="35">
        <v>33000</v>
      </c>
      <c r="K34" s="35"/>
      <c r="L34" s="35">
        <v>41000</v>
      </c>
      <c r="M34" s="35">
        <v>17000</v>
      </c>
      <c r="N34" s="35">
        <v>799</v>
      </c>
      <c r="O34" s="35" t="s">
        <v>34</v>
      </c>
    </row>
    <row r="35" spans="1:15" x14ac:dyDescent="0.25">
      <c r="A35" s="35" t="s">
        <v>205</v>
      </c>
      <c r="B35" s="36">
        <v>45740</v>
      </c>
      <c r="C35" s="35" t="s">
        <v>250</v>
      </c>
      <c r="D35" s="35" t="s">
        <v>206</v>
      </c>
      <c r="E35" s="35">
        <v>31</v>
      </c>
      <c r="F35" s="35" t="s">
        <v>17</v>
      </c>
      <c r="G35" s="35" t="s">
        <v>4</v>
      </c>
      <c r="H35" s="35">
        <v>70000</v>
      </c>
      <c r="I35" s="35" t="s">
        <v>42</v>
      </c>
      <c r="J35" s="35">
        <v>4600</v>
      </c>
      <c r="K35" s="35" t="s">
        <v>1</v>
      </c>
      <c r="L35" s="35">
        <v>13000</v>
      </c>
      <c r="M35" s="35">
        <v>3000</v>
      </c>
      <c r="N35" s="35">
        <v>732</v>
      </c>
      <c r="O35" s="35" t="s">
        <v>24</v>
      </c>
    </row>
    <row r="36" spans="1:15" x14ac:dyDescent="0.25">
      <c r="A36" s="35" t="s">
        <v>207</v>
      </c>
      <c r="B36" s="36">
        <v>45741</v>
      </c>
      <c r="C36" s="35" t="s">
        <v>251</v>
      </c>
      <c r="D36" s="35" t="s">
        <v>208</v>
      </c>
      <c r="E36" s="35">
        <v>35</v>
      </c>
      <c r="F36" s="35" t="s">
        <v>27</v>
      </c>
      <c r="G36" s="35" t="s">
        <v>4</v>
      </c>
      <c r="H36" s="35">
        <v>83000</v>
      </c>
      <c r="I36" s="35" t="s">
        <v>54</v>
      </c>
      <c r="J36" s="35">
        <v>10200</v>
      </c>
      <c r="K36" s="35" t="s">
        <v>23</v>
      </c>
      <c r="L36" s="35">
        <v>18000</v>
      </c>
      <c r="M36" s="35">
        <v>9500</v>
      </c>
      <c r="N36" s="35">
        <v>747</v>
      </c>
      <c r="O36" s="35" t="s">
        <v>24</v>
      </c>
    </row>
    <row r="37" spans="1:15" x14ac:dyDescent="0.25">
      <c r="A37" s="35" t="s">
        <v>209</v>
      </c>
      <c r="B37" s="36">
        <v>45742</v>
      </c>
      <c r="C37" s="35" t="s">
        <v>252</v>
      </c>
      <c r="D37" s="35" t="s">
        <v>210</v>
      </c>
      <c r="E37" s="35">
        <v>26</v>
      </c>
      <c r="F37" s="35" t="s">
        <v>41</v>
      </c>
      <c r="G37" s="35" t="s">
        <v>22</v>
      </c>
      <c r="H37" s="35">
        <v>53000</v>
      </c>
      <c r="I37" s="35" t="s">
        <v>8</v>
      </c>
      <c r="J37" s="35">
        <v>4100</v>
      </c>
      <c r="K37" s="35" t="s">
        <v>0</v>
      </c>
      <c r="L37" s="35">
        <v>7000</v>
      </c>
      <c r="M37" s="35"/>
      <c r="N37" s="35">
        <v>694</v>
      </c>
      <c r="O37" s="35" t="s">
        <v>28</v>
      </c>
    </row>
    <row r="38" spans="1:15" x14ac:dyDescent="0.25">
      <c r="A38" s="35" t="s">
        <v>211</v>
      </c>
      <c r="B38" s="36">
        <v>45743</v>
      </c>
      <c r="C38" s="35" t="s">
        <v>253</v>
      </c>
      <c r="D38" s="35" t="s">
        <v>212</v>
      </c>
      <c r="E38" s="35">
        <v>42</v>
      </c>
      <c r="F38" s="35" t="s">
        <v>81</v>
      </c>
      <c r="G38" s="35" t="s">
        <v>32</v>
      </c>
      <c r="H38" s="35">
        <v>144000</v>
      </c>
      <c r="I38" s="35" t="s">
        <v>9</v>
      </c>
      <c r="J38" s="35">
        <v>37000</v>
      </c>
      <c r="K38" s="35" t="s">
        <v>46</v>
      </c>
      <c r="L38" s="35">
        <v>46000</v>
      </c>
      <c r="M38" s="35">
        <v>21000</v>
      </c>
      <c r="N38" s="35">
        <v>810</v>
      </c>
      <c r="O38" s="35" t="s">
        <v>34</v>
      </c>
    </row>
    <row r="39" spans="1:15" x14ac:dyDescent="0.25">
      <c r="A39" s="35" t="s">
        <v>213</v>
      </c>
      <c r="B39" s="36">
        <v>45744</v>
      </c>
      <c r="C39" s="35" t="s">
        <v>15</v>
      </c>
      <c r="D39" s="35" t="s">
        <v>214</v>
      </c>
      <c r="E39" s="35">
        <v>29</v>
      </c>
      <c r="F39" s="35" t="s">
        <v>17</v>
      </c>
      <c r="G39" s="35" t="s">
        <v>4</v>
      </c>
      <c r="H39" s="35">
        <v>69000</v>
      </c>
      <c r="I39" s="35" t="s">
        <v>2</v>
      </c>
      <c r="J39" s="35">
        <v>6200</v>
      </c>
      <c r="K39" s="35" t="s">
        <v>1</v>
      </c>
      <c r="L39" s="35">
        <v>12500</v>
      </c>
      <c r="M39" s="35">
        <v>3000</v>
      </c>
      <c r="N39" s="35">
        <v>728</v>
      </c>
      <c r="O39" s="35" t="s">
        <v>24</v>
      </c>
    </row>
    <row r="40" spans="1:15" x14ac:dyDescent="0.25">
      <c r="A40" s="35" t="s">
        <v>215</v>
      </c>
      <c r="B40" s="36">
        <v>45745</v>
      </c>
      <c r="C40" s="35" t="s">
        <v>105</v>
      </c>
      <c r="D40" s="35" t="s">
        <v>216</v>
      </c>
      <c r="E40" s="35">
        <v>33</v>
      </c>
      <c r="F40" s="35"/>
      <c r="G40" s="35" t="s">
        <v>4</v>
      </c>
      <c r="H40" s="35">
        <v>78000</v>
      </c>
      <c r="I40" s="35" t="s">
        <v>5</v>
      </c>
      <c r="J40" s="35">
        <v>22000</v>
      </c>
      <c r="K40" s="35" t="s">
        <v>23</v>
      </c>
      <c r="L40" s="35">
        <v>15000</v>
      </c>
      <c r="M40" s="35">
        <v>7000</v>
      </c>
      <c r="N40" s="35">
        <v>739</v>
      </c>
      <c r="O40" s="35" t="s">
        <v>24</v>
      </c>
    </row>
    <row r="41" spans="1:15" x14ac:dyDescent="0.25">
      <c r="A41" s="35" t="s">
        <v>217</v>
      </c>
      <c r="B41" s="36">
        <v>45746</v>
      </c>
      <c r="C41" s="35" t="s">
        <v>163</v>
      </c>
      <c r="D41" s="35" t="s">
        <v>218</v>
      </c>
      <c r="E41" s="35">
        <v>24</v>
      </c>
      <c r="F41" s="35" t="s">
        <v>17</v>
      </c>
      <c r="G41" s="35" t="s">
        <v>49</v>
      </c>
      <c r="H41" s="35">
        <v>30000</v>
      </c>
      <c r="I41" s="35" t="s">
        <v>63</v>
      </c>
      <c r="J41" s="35">
        <v>3500</v>
      </c>
      <c r="K41" s="35" t="s">
        <v>0</v>
      </c>
      <c r="L41" s="35">
        <v>4000</v>
      </c>
      <c r="M41" s="35"/>
      <c r="N41" s="35">
        <v>680</v>
      </c>
      <c r="O41" s="35" t="s">
        <v>28</v>
      </c>
    </row>
    <row r="42" spans="1:15" x14ac:dyDescent="0.25">
      <c r="A42" s="35" t="s">
        <v>219</v>
      </c>
      <c r="B42" s="36">
        <v>45747</v>
      </c>
      <c r="C42" s="35" t="s">
        <v>222</v>
      </c>
      <c r="D42" s="35" t="s">
        <v>220</v>
      </c>
      <c r="E42" s="35">
        <v>45</v>
      </c>
      <c r="F42" s="35" t="s">
        <v>31</v>
      </c>
      <c r="G42" s="35" t="s">
        <v>32</v>
      </c>
      <c r="H42" s="35">
        <v>158000</v>
      </c>
      <c r="I42" s="35" t="s">
        <v>42</v>
      </c>
      <c r="J42" s="35">
        <v>9100</v>
      </c>
      <c r="K42" s="35" t="s">
        <v>33</v>
      </c>
      <c r="L42" s="35">
        <v>54000</v>
      </c>
      <c r="M42" s="35">
        <v>8000</v>
      </c>
      <c r="N42" s="35">
        <v>822</v>
      </c>
      <c r="O42" s="35" t="s">
        <v>34</v>
      </c>
    </row>
    <row r="43" spans="1:15" x14ac:dyDescent="0.25">
      <c r="A43" s="35" t="s">
        <v>221</v>
      </c>
      <c r="B43" s="36">
        <v>45748</v>
      </c>
      <c r="C43" s="35" t="s">
        <v>246</v>
      </c>
      <c r="D43" s="35" t="s">
        <v>223</v>
      </c>
      <c r="E43" s="35">
        <v>30</v>
      </c>
      <c r="F43" s="35" t="s">
        <v>17</v>
      </c>
      <c r="G43" s="35"/>
      <c r="H43" s="35">
        <v>73000</v>
      </c>
      <c r="I43" s="35" t="s">
        <v>58</v>
      </c>
      <c r="J43" s="35">
        <v>7900</v>
      </c>
      <c r="K43" s="35"/>
      <c r="L43" s="35">
        <v>13500</v>
      </c>
      <c r="M43" s="35">
        <v>4000</v>
      </c>
      <c r="N43" s="35">
        <v>736</v>
      </c>
      <c r="O43" s="35" t="s">
        <v>24</v>
      </c>
    </row>
    <row r="44" spans="1:15" x14ac:dyDescent="0.25">
      <c r="A44" s="35" t="s">
        <v>224</v>
      </c>
      <c r="B44" s="36">
        <v>45749</v>
      </c>
      <c r="C44" s="35" t="s">
        <v>247</v>
      </c>
      <c r="D44" s="35" t="s">
        <v>225</v>
      </c>
      <c r="E44" s="35">
        <v>36</v>
      </c>
      <c r="F44" s="35" t="s">
        <v>21</v>
      </c>
      <c r="G44" s="35" t="s">
        <v>4</v>
      </c>
      <c r="H44" s="35">
        <v>86000</v>
      </c>
      <c r="I44" s="35"/>
      <c r="J44" s="35">
        <v>9700</v>
      </c>
      <c r="K44" s="35" t="s">
        <v>23</v>
      </c>
      <c r="L44" s="35">
        <v>19000</v>
      </c>
      <c r="M44" s="35">
        <v>10000</v>
      </c>
      <c r="N44" s="35">
        <v>748</v>
      </c>
      <c r="O44" s="35" t="s">
        <v>24</v>
      </c>
    </row>
    <row r="45" spans="1:15" x14ac:dyDescent="0.25">
      <c r="A45" s="35" t="s">
        <v>226</v>
      </c>
      <c r="B45" s="36">
        <v>45750</v>
      </c>
      <c r="C45" s="35" t="s">
        <v>248</v>
      </c>
      <c r="D45" s="35" t="s">
        <v>227</v>
      </c>
      <c r="E45" s="35">
        <v>27</v>
      </c>
      <c r="F45" s="35" t="s">
        <v>17</v>
      </c>
      <c r="G45" s="35" t="s">
        <v>22</v>
      </c>
      <c r="H45" s="35">
        <v>52000</v>
      </c>
      <c r="I45" s="35" t="s">
        <v>8</v>
      </c>
      <c r="J45" s="35">
        <v>4500</v>
      </c>
      <c r="K45" s="35" t="s">
        <v>1</v>
      </c>
      <c r="L45" s="35">
        <v>6500</v>
      </c>
      <c r="M45" s="35"/>
      <c r="N45" s="35">
        <v>696</v>
      </c>
      <c r="O45" s="35" t="s">
        <v>28</v>
      </c>
    </row>
    <row r="46" spans="1:15" x14ac:dyDescent="0.25">
      <c r="A46" s="35" t="s">
        <v>228</v>
      </c>
      <c r="B46" s="36">
        <v>45751</v>
      </c>
      <c r="C46" s="35" t="s">
        <v>249</v>
      </c>
      <c r="D46" s="35" t="s">
        <v>229</v>
      </c>
      <c r="E46" s="35">
        <v>41</v>
      </c>
      <c r="F46" s="35" t="s">
        <v>27</v>
      </c>
      <c r="G46" s="35" t="s">
        <v>32</v>
      </c>
      <c r="H46" s="35">
        <v>139000</v>
      </c>
      <c r="I46" s="35" t="s">
        <v>9</v>
      </c>
      <c r="J46" s="35">
        <v>35000</v>
      </c>
      <c r="K46" s="35" t="s">
        <v>46</v>
      </c>
      <c r="L46" s="35">
        <v>42000</v>
      </c>
      <c r="M46" s="35">
        <v>18000</v>
      </c>
      <c r="N46" s="35">
        <v>801</v>
      </c>
      <c r="O46" s="35" t="s">
        <v>34</v>
      </c>
    </row>
    <row r="47" spans="1:15" x14ac:dyDescent="0.25">
      <c r="A47" s="35" t="s">
        <v>230</v>
      </c>
      <c r="B47" s="36">
        <v>45752</v>
      </c>
      <c r="C47" s="35" t="s">
        <v>250</v>
      </c>
      <c r="D47" s="35" t="s">
        <v>231</v>
      </c>
      <c r="E47" s="35">
        <v>31</v>
      </c>
      <c r="F47" s="35" t="s">
        <v>17</v>
      </c>
      <c r="G47" s="35" t="s">
        <v>4</v>
      </c>
      <c r="H47" s="35">
        <v>71000</v>
      </c>
      <c r="I47" s="35" t="s">
        <v>7</v>
      </c>
      <c r="J47" s="35">
        <v>6100</v>
      </c>
      <c r="K47" s="35" t="s">
        <v>23</v>
      </c>
      <c r="L47" s="35">
        <v>14000</v>
      </c>
      <c r="M47" s="35">
        <v>3500</v>
      </c>
      <c r="N47" s="35">
        <v>734</v>
      </c>
      <c r="O47" s="35" t="s">
        <v>24</v>
      </c>
    </row>
    <row r="48" spans="1:15" x14ac:dyDescent="0.25">
      <c r="A48" s="35" t="s">
        <v>232</v>
      </c>
      <c r="B48" s="36">
        <v>45753</v>
      </c>
      <c r="C48" s="35" t="s">
        <v>251</v>
      </c>
      <c r="D48" s="35" t="s">
        <v>233</v>
      </c>
      <c r="E48" s="35">
        <v>28</v>
      </c>
      <c r="F48" s="35"/>
      <c r="G48" s="35" t="s">
        <v>4</v>
      </c>
      <c r="H48" s="35">
        <v>67000</v>
      </c>
      <c r="I48" s="35" t="s">
        <v>5</v>
      </c>
      <c r="J48" s="35">
        <v>19500</v>
      </c>
      <c r="K48" s="35" t="s">
        <v>1</v>
      </c>
      <c r="L48" s="35">
        <v>10500</v>
      </c>
      <c r="M48" s="35">
        <v>4500</v>
      </c>
      <c r="N48" s="35">
        <v>718</v>
      </c>
      <c r="O48" s="35" t="s">
        <v>18</v>
      </c>
    </row>
    <row r="49" spans="1:15" x14ac:dyDescent="0.25">
      <c r="A49" s="35" t="s">
        <v>234</v>
      </c>
      <c r="B49" s="36">
        <v>45754</v>
      </c>
      <c r="C49" s="35" t="s">
        <v>252</v>
      </c>
      <c r="D49" s="35" t="s">
        <v>235</v>
      </c>
      <c r="E49" s="35">
        <v>25</v>
      </c>
      <c r="F49" s="35" t="s">
        <v>17</v>
      </c>
      <c r="G49" s="35" t="s">
        <v>49</v>
      </c>
      <c r="H49" s="35">
        <v>31000</v>
      </c>
      <c r="I49" s="35" t="s">
        <v>50</v>
      </c>
      <c r="J49" s="35">
        <v>3900</v>
      </c>
      <c r="K49" s="35" t="s">
        <v>0</v>
      </c>
      <c r="L49" s="35">
        <v>3000</v>
      </c>
      <c r="M49" s="35"/>
      <c r="N49" s="35">
        <v>677</v>
      </c>
      <c r="O49" s="35" t="s">
        <v>28</v>
      </c>
    </row>
    <row r="50" spans="1:15" x14ac:dyDescent="0.25">
      <c r="A50" s="35" t="s">
        <v>236</v>
      </c>
      <c r="B50" s="36">
        <v>45755</v>
      </c>
      <c r="C50" s="35" t="s">
        <v>253</v>
      </c>
      <c r="D50" s="35" t="s">
        <v>237</v>
      </c>
      <c r="E50" s="35">
        <v>43</v>
      </c>
      <c r="F50" s="35" t="s">
        <v>81</v>
      </c>
      <c r="G50" s="35" t="s">
        <v>32</v>
      </c>
      <c r="H50" s="35">
        <v>148000</v>
      </c>
      <c r="I50" s="35" t="s">
        <v>42</v>
      </c>
      <c r="J50" s="35">
        <v>8300</v>
      </c>
      <c r="K50" s="35" t="s">
        <v>33</v>
      </c>
      <c r="L50" s="35">
        <v>49000</v>
      </c>
      <c r="M50" s="35">
        <v>22000</v>
      </c>
      <c r="N50" s="35">
        <v>814</v>
      </c>
      <c r="O50" s="35" t="s">
        <v>34</v>
      </c>
    </row>
    <row r="51" spans="1:15" x14ac:dyDescent="0.25">
      <c r="A51" s="35" t="s">
        <v>238</v>
      </c>
      <c r="B51" s="36">
        <v>45756</v>
      </c>
      <c r="C51" s="35" t="s">
        <v>15</v>
      </c>
      <c r="D51" s="35" t="s">
        <v>239</v>
      </c>
      <c r="E51" s="35">
        <v>30</v>
      </c>
      <c r="F51" s="35" t="s">
        <v>17</v>
      </c>
      <c r="G51" s="35" t="s">
        <v>4</v>
      </c>
      <c r="H51" s="35">
        <v>72000</v>
      </c>
      <c r="I51" s="35" t="s">
        <v>58</v>
      </c>
      <c r="J51" s="35">
        <v>7400</v>
      </c>
      <c r="K51" s="35" t="s">
        <v>1</v>
      </c>
      <c r="L51" s="35">
        <v>13200</v>
      </c>
      <c r="M51" s="35">
        <v>3000</v>
      </c>
      <c r="N51" s="35">
        <v>731</v>
      </c>
      <c r="O51" s="35" t="s">
        <v>24</v>
      </c>
    </row>
    <row r="52" spans="1:15" x14ac:dyDescent="0.25">
      <c r="A52" s="35" t="s">
        <v>240</v>
      </c>
      <c r="B52" s="36">
        <v>45757</v>
      </c>
      <c r="C52" s="35" t="s">
        <v>105</v>
      </c>
      <c r="D52" s="35" t="s">
        <v>241</v>
      </c>
      <c r="E52" s="35">
        <v>35</v>
      </c>
      <c r="F52" s="35" t="s">
        <v>27</v>
      </c>
      <c r="G52" s="35"/>
      <c r="H52" s="35">
        <v>80000</v>
      </c>
      <c r="I52" s="35" t="s">
        <v>54</v>
      </c>
      <c r="J52" s="35">
        <v>10100</v>
      </c>
      <c r="K52" s="35" t="s">
        <v>23</v>
      </c>
      <c r="L52" s="35">
        <v>17500</v>
      </c>
      <c r="M52" s="35">
        <v>9000</v>
      </c>
      <c r="N52" s="35">
        <v>744</v>
      </c>
      <c r="O52" s="35" t="s">
        <v>24</v>
      </c>
    </row>
    <row r="53" spans="1:15" x14ac:dyDescent="0.25">
      <c r="A53" s="35" t="s">
        <v>242</v>
      </c>
      <c r="B53" s="36">
        <v>45758</v>
      </c>
      <c r="C53" s="35" t="s">
        <v>163</v>
      </c>
      <c r="D53" s="35" t="s">
        <v>243</v>
      </c>
      <c r="E53" s="35">
        <v>27</v>
      </c>
      <c r="F53" s="35" t="s">
        <v>17</v>
      </c>
      <c r="G53" s="35" t="s">
        <v>22</v>
      </c>
      <c r="H53" s="35">
        <v>54000</v>
      </c>
      <c r="I53" s="35" t="s">
        <v>63</v>
      </c>
      <c r="J53" s="35">
        <v>5100</v>
      </c>
      <c r="K53" s="35" t="s">
        <v>1</v>
      </c>
      <c r="L53" s="35">
        <v>7200</v>
      </c>
      <c r="M53" s="35"/>
      <c r="N53" s="35">
        <v>700</v>
      </c>
      <c r="O53" s="35" t="s">
        <v>18</v>
      </c>
    </row>
    <row r="54" spans="1:15" x14ac:dyDescent="0.25">
      <c r="A54" s="35" t="s">
        <v>94</v>
      </c>
      <c r="B54" s="36">
        <v>45684</v>
      </c>
      <c r="C54" s="35" t="s">
        <v>222</v>
      </c>
      <c r="D54" s="35" t="s">
        <v>95</v>
      </c>
      <c r="E54" s="35">
        <v>30</v>
      </c>
      <c r="F54" s="35" t="s">
        <v>17</v>
      </c>
      <c r="G54" s="35" t="s">
        <v>4</v>
      </c>
      <c r="H54" s="35">
        <v>67000</v>
      </c>
      <c r="I54" s="35" t="s">
        <v>42</v>
      </c>
      <c r="J54" s="35">
        <v>3400</v>
      </c>
      <c r="K54" s="35" t="s">
        <v>1</v>
      </c>
      <c r="L54" s="35">
        <v>14000</v>
      </c>
      <c r="M54" s="35">
        <v>2500</v>
      </c>
      <c r="N54" s="35">
        <v>738</v>
      </c>
      <c r="O54" s="35" t="s">
        <v>24</v>
      </c>
    </row>
    <row r="55" spans="1:15" x14ac:dyDescent="0.25">
      <c r="A55" s="35" t="s">
        <v>96</v>
      </c>
      <c r="B55" s="36">
        <v>45685</v>
      </c>
      <c r="C55" s="35" t="s">
        <v>246</v>
      </c>
      <c r="D55" s="35" t="s">
        <v>97</v>
      </c>
      <c r="E55" s="35">
        <v>27</v>
      </c>
      <c r="F55" s="35" t="s">
        <v>27</v>
      </c>
      <c r="G55" s="35" t="s">
        <v>22</v>
      </c>
      <c r="H55" s="35">
        <v>51000</v>
      </c>
      <c r="I55" s="35"/>
      <c r="J55" s="35">
        <v>4700</v>
      </c>
      <c r="K55" s="35" t="s">
        <v>0</v>
      </c>
      <c r="L55" s="35">
        <v>6000</v>
      </c>
      <c r="M55" s="35"/>
      <c r="N55" s="35">
        <v>688</v>
      </c>
      <c r="O55" s="35" t="s">
        <v>28</v>
      </c>
    </row>
    <row r="56" spans="1:15" x14ac:dyDescent="0.25">
      <c r="A56" s="35" t="s">
        <v>98</v>
      </c>
      <c r="B56" s="36">
        <v>45686</v>
      </c>
      <c r="C56" s="35" t="s">
        <v>247</v>
      </c>
      <c r="D56" s="35" t="s">
        <v>99</v>
      </c>
      <c r="E56" s="35">
        <v>35</v>
      </c>
      <c r="F56" s="35" t="s">
        <v>31</v>
      </c>
      <c r="G56" s="35" t="s">
        <v>32</v>
      </c>
      <c r="H56" s="35">
        <v>118000</v>
      </c>
      <c r="I56" s="35" t="s">
        <v>5</v>
      </c>
      <c r="J56" s="35">
        <v>28000</v>
      </c>
      <c r="K56" s="35"/>
      <c r="L56" s="35">
        <v>32000</v>
      </c>
      <c r="M56" s="35">
        <v>14000</v>
      </c>
      <c r="N56" s="35">
        <v>799</v>
      </c>
      <c r="O56" s="35" t="s">
        <v>34</v>
      </c>
    </row>
    <row r="57" spans="1:15" x14ac:dyDescent="0.25">
      <c r="A57" s="35" t="s">
        <v>100</v>
      </c>
      <c r="B57" s="36">
        <v>45687</v>
      </c>
      <c r="C57" s="35" t="s">
        <v>248</v>
      </c>
      <c r="D57" s="35" t="s">
        <v>101</v>
      </c>
      <c r="E57" s="35">
        <v>44</v>
      </c>
      <c r="F57" s="35"/>
      <c r="G57" s="35" t="s">
        <v>4</v>
      </c>
      <c r="H57" s="35">
        <v>83000</v>
      </c>
      <c r="I57" s="35" t="s">
        <v>7</v>
      </c>
      <c r="J57" s="35">
        <v>7200</v>
      </c>
      <c r="K57" s="35" t="s">
        <v>33</v>
      </c>
      <c r="L57" s="35">
        <v>18000</v>
      </c>
      <c r="M57" s="35">
        <v>10000</v>
      </c>
      <c r="N57" s="35">
        <v>712</v>
      </c>
      <c r="O57" s="35" t="s">
        <v>18</v>
      </c>
    </row>
    <row r="58" spans="1:15" x14ac:dyDescent="0.25">
      <c r="A58" s="35" t="s">
        <v>102</v>
      </c>
      <c r="B58" s="36">
        <v>45688</v>
      </c>
      <c r="C58" s="35" t="s">
        <v>249</v>
      </c>
      <c r="D58" s="35" t="s">
        <v>103</v>
      </c>
      <c r="E58" s="35">
        <v>26</v>
      </c>
      <c r="F58" s="35" t="s">
        <v>17</v>
      </c>
      <c r="G58" s="35" t="s">
        <v>49</v>
      </c>
      <c r="H58" s="35">
        <v>31000</v>
      </c>
      <c r="I58" s="35" t="s">
        <v>50</v>
      </c>
      <c r="J58" s="35">
        <v>3800</v>
      </c>
      <c r="K58" s="35" t="s">
        <v>1</v>
      </c>
      <c r="L58" s="35">
        <v>4500</v>
      </c>
      <c r="M58" s="35"/>
      <c r="N58" s="35">
        <v>675</v>
      </c>
      <c r="O58" s="35" t="s">
        <v>28</v>
      </c>
    </row>
    <row r="59" spans="1:15" x14ac:dyDescent="0.25">
      <c r="A59" s="35" t="s">
        <v>104</v>
      </c>
      <c r="B59" s="36">
        <v>45689</v>
      </c>
      <c r="C59" s="35" t="s">
        <v>250</v>
      </c>
      <c r="D59" s="35" t="s">
        <v>106</v>
      </c>
      <c r="E59" s="35">
        <v>33</v>
      </c>
      <c r="F59" s="35" t="s">
        <v>21</v>
      </c>
      <c r="G59" s="35" t="s">
        <v>4</v>
      </c>
      <c r="H59" s="35">
        <v>78000</v>
      </c>
      <c r="I59" s="35" t="s">
        <v>54</v>
      </c>
      <c r="J59" s="35">
        <v>9100</v>
      </c>
      <c r="K59" s="35" t="s">
        <v>23</v>
      </c>
      <c r="L59" s="35">
        <v>13000</v>
      </c>
      <c r="M59" s="35">
        <v>5000</v>
      </c>
      <c r="N59" s="35">
        <v>741</v>
      </c>
      <c r="O59" s="35" t="s">
        <v>24</v>
      </c>
    </row>
    <row r="60" spans="1:15" x14ac:dyDescent="0.25">
      <c r="A60" s="35" t="s">
        <v>107</v>
      </c>
      <c r="B60" s="36">
        <v>45690</v>
      </c>
      <c r="C60" s="35" t="s">
        <v>251</v>
      </c>
      <c r="D60" s="35" t="s">
        <v>108</v>
      </c>
      <c r="E60" s="35">
        <v>29</v>
      </c>
      <c r="F60" s="35" t="s">
        <v>57</v>
      </c>
      <c r="G60" s="35" t="s">
        <v>22</v>
      </c>
      <c r="H60" s="35">
        <v>56000</v>
      </c>
      <c r="I60" s="35" t="s">
        <v>58</v>
      </c>
      <c r="J60" s="35">
        <v>6900</v>
      </c>
      <c r="K60" s="35" t="s">
        <v>1</v>
      </c>
      <c r="L60" s="35">
        <v>8000</v>
      </c>
      <c r="M60" s="35">
        <v>7000</v>
      </c>
      <c r="N60" s="35">
        <v>701</v>
      </c>
      <c r="O60" s="35" t="s">
        <v>18</v>
      </c>
    </row>
    <row r="61" spans="1:15" x14ac:dyDescent="0.25">
      <c r="A61" s="35" t="s">
        <v>109</v>
      </c>
      <c r="B61" s="36">
        <v>45691</v>
      </c>
      <c r="C61" s="35" t="s">
        <v>252</v>
      </c>
      <c r="D61" s="35" t="s">
        <v>110</v>
      </c>
      <c r="E61" s="35">
        <v>39</v>
      </c>
      <c r="F61" s="35" t="s">
        <v>27</v>
      </c>
      <c r="G61" s="35"/>
      <c r="H61" s="35">
        <v>138000</v>
      </c>
      <c r="I61" s="35" t="s">
        <v>9</v>
      </c>
      <c r="J61" s="35">
        <v>32000</v>
      </c>
      <c r="K61" s="35" t="s">
        <v>33</v>
      </c>
      <c r="L61" s="35">
        <v>41000</v>
      </c>
      <c r="M61" s="35">
        <v>18000</v>
      </c>
      <c r="N61" s="35">
        <v>807</v>
      </c>
      <c r="O61" s="35" t="s">
        <v>34</v>
      </c>
    </row>
    <row r="62" spans="1:15" x14ac:dyDescent="0.25">
      <c r="A62" s="35" t="s">
        <v>111</v>
      </c>
      <c r="B62" s="36">
        <v>45692</v>
      </c>
      <c r="C62" s="35" t="s">
        <v>253</v>
      </c>
      <c r="D62" s="35" t="s">
        <v>112</v>
      </c>
      <c r="E62" s="35">
        <v>31</v>
      </c>
      <c r="F62" s="35" t="s">
        <v>17</v>
      </c>
      <c r="G62" s="35" t="s">
        <v>4</v>
      </c>
      <c r="H62" s="35">
        <v>69000</v>
      </c>
      <c r="I62" s="35" t="s">
        <v>2</v>
      </c>
      <c r="J62" s="35">
        <v>6400</v>
      </c>
      <c r="K62" s="35" t="s">
        <v>23</v>
      </c>
      <c r="L62" s="35">
        <v>12000</v>
      </c>
      <c r="M62" s="35">
        <v>3000</v>
      </c>
      <c r="N62" s="35">
        <v>728</v>
      </c>
      <c r="O62" s="35" t="s">
        <v>24</v>
      </c>
    </row>
    <row r="63" spans="1:15" x14ac:dyDescent="0.25">
      <c r="A63" s="35" t="s">
        <v>113</v>
      </c>
      <c r="B63" s="36">
        <v>45693</v>
      </c>
      <c r="C63" s="35" t="s">
        <v>15</v>
      </c>
      <c r="D63" s="35" t="s">
        <v>114</v>
      </c>
      <c r="E63" s="35">
        <v>28</v>
      </c>
      <c r="F63" s="35" t="s">
        <v>17</v>
      </c>
      <c r="G63" s="35" t="s">
        <v>4</v>
      </c>
      <c r="H63" s="35">
        <v>62000</v>
      </c>
      <c r="I63" s="35" t="s">
        <v>5</v>
      </c>
      <c r="J63" s="35">
        <v>19000</v>
      </c>
      <c r="K63" s="35" t="s">
        <v>1</v>
      </c>
      <c r="L63" s="35">
        <v>10000</v>
      </c>
      <c r="M63" s="35">
        <v>4000</v>
      </c>
      <c r="N63" s="35">
        <v>719</v>
      </c>
      <c r="O63" s="35" t="s">
        <v>18</v>
      </c>
    </row>
    <row r="64" spans="1:15" x14ac:dyDescent="0.25">
      <c r="A64" s="35" t="s">
        <v>115</v>
      </c>
      <c r="B64" s="36">
        <v>45694</v>
      </c>
      <c r="C64" s="35" t="s">
        <v>105</v>
      </c>
      <c r="D64" s="35" t="s">
        <v>116</v>
      </c>
      <c r="E64" s="35">
        <v>36</v>
      </c>
      <c r="F64" s="35" t="s">
        <v>27</v>
      </c>
      <c r="G64" s="35" t="s">
        <v>4</v>
      </c>
      <c r="H64" s="35">
        <v>87000</v>
      </c>
      <c r="I64" s="35" t="s">
        <v>6</v>
      </c>
      <c r="J64" s="35">
        <v>4300</v>
      </c>
      <c r="K64" s="35" t="s">
        <v>0</v>
      </c>
      <c r="L64" s="35">
        <v>17000</v>
      </c>
      <c r="M64" s="35">
        <v>8500</v>
      </c>
      <c r="N64" s="35">
        <v>734</v>
      </c>
      <c r="O64" s="35" t="s">
        <v>24</v>
      </c>
    </row>
    <row r="65" spans="1:15" x14ac:dyDescent="0.25">
      <c r="A65" s="35" t="s">
        <v>117</v>
      </c>
      <c r="B65" s="36">
        <v>45695</v>
      </c>
      <c r="C65" s="35" t="s">
        <v>163</v>
      </c>
      <c r="D65" s="35" t="s">
        <v>118</v>
      </c>
      <c r="E65" s="35">
        <v>24</v>
      </c>
      <c r="F65" s="35" t="s">
        <v>41</v>
      </c>
      <c r="G65" s="35" t="s">
        <v>49</v>
      </c>
      <c r="H65" s="35">
        <v>29000</v>
      </c>
      <c r="I65" s="35" t="s">
        <v>8</v>
      </c>
      <c r="J65" s="35">
        <v>3600</v>
      </c>
      <c r="K65" s="35" t="s">
        <v>1</v>
      </c>
      <c r="L65" s="35">
        <v>3000</v>
      </c>
      <c r="M65" s="35"/>
      <c r="N65" s="35">
        <v>682</v>
      </c>
      <c r="O65" s="35" t="s">
        <v>28</v>
      </c>
    </row>
    <row r="66" spans="1:15" x14ac:dyDescent="0.25">
      <c r="A66" s="35" t="s">
        <v>119</v>
      </c>
      <c r="B66" s="36">
        <v>45696</v>
      </c>
      <c r="C66" s="35" t="s">
        <v>222</v>
      </c>
      <c r="D66" s="35" t="s">
        <v>120</v>
      </c>
      <c r="E66" s="35">
        <v>41</v>
      </c>
      <c r="F66" s="35" t="s">
        <v>81</v>
      </c>
      <c r="G66" s="35" t="s">
        <v>32</v>
      </c>
      <c r="H66" s="35">
        <v>128000</v>
      </c>
      <c r="I66" s="35" t="s">
        <v>42</v>
      </c>
      <c r="J66" s="35">
        <v>7600</v>
      </c>
      <c r="K66" s="35" t="s">
        <v>46</v>
      </c>
      <c r="L66" s="35">
        <v>35000</v>
      </c>
      <c r="M66" s="35">
        <v>16000</v>
      </c>
      <c r="N66" s="35">
        <v>792</v>
      </c>
      <c r="O66" s="35" t="s">
        <v>34</v>
      </c>
    </row>
    <row r="67" spans="1:15" x14ac:dyDescent="0.25">
      <c r="A67" s="35" t="s">
        <v>121</v>
      </c>
      <c r="B67" s="36">
        <v>45697</v>
      </c>
      <c r="C67" s="35" t="s">
        <v>246</v>
      </c>
      <c r="D67" s="35" t="s">
        <v>122</v>
      </c>
      <c r="E67" s="35">
        <v>32</v>
      </c>
      <c r="F67" s="35"/>
      <c r="G67" s="35" t="s">
        <v>4</v>
      </c>
      <c r="H67" s="35">
        <v>71000</v>
      </c>
      <c r="I67" s="35"/>
      <c r="J67" s="35">
        <v>6100</v>
      </c>
      <c r="K67" s="35" t="s">
        <v>23</v>
      </c>
      <c r="L67" s="35">
        <v>11000</v>
      </c>
      <c r="M67" s="35">
        <v>4500</v>
      </c>
      <c r="N67" s="35">
        <v>725</v>
      </c>
      <c r="O67" s="35" t="s">
        <v>24</v>
      </c>
    </row>
    <row r="68" spans="1:15" x14ac:dyDescent="0.25">
      <c r="A68" s="35" t="s">
        <v>123</v>
      </c>
      <c r="B68" s="36"/>
      <c r="C68" s="35" t="s">
        <v>247</v>
      </c>
      <c r="D68" s="35" t="s">
        <v>16</v>
      </c>
      <c r="E68" s="35">
        <v>29</v>
      </c>
      <c r="F68" s="35" t="s">
        <v>124</v>
      </c>
      <c r="G68" s="35" t="s">
        <v>125</v>
      </c>
      <c r="H68" s="35">
        <v>65000</v>
      </c>
      <c r="I68" s="35" t="s">
        <v>5</v>
      </c>
      <c r="J68" s="35">
        <v>18000</v>
      </c>
      <c r="K68" s="35" t="s">
        <v>1</v>
      </c>
      <c r="L68" s="35"/>
      <c r="M68" s="35">
        <v>5000</v>
      </c>
      <c r="N68" s="35">
        <v>742</v>
      </c>
      <c r="O68" s="35" t="s">
        <v>18</v>
      </c>
    </row>
    <row r="69" spans="1:15" x14ac:dyDescent="0.25">
      <c r="A69" s="35" t="s">
        <v>126</v>
      </c>
      <c r="B69" s="36">
        <v>45699</v>
      </c>
      <c r="C69" s="35" t="s">
        <v>248</v>
      </c>
      <c r="D69" s="35" t="s">
        <v>127</v>
      </c>
      <c r="E69" s="35">
        <v>27</v>
      </c>
      <c r="F69" s="35" t="s">
        <v>17</v>
      </c>
      <c r="G69" s="35" t="s">
        <v>22</v>
      </c>
      <c r="H69" s="35">
        <v>53000</v>
      </c>
      <c r="I69" s="35" t="s">
        <v>58</v>
      </c>
      <c r="J69" s="35">
        <v>7900</v>
      </c>
      <c r="K69" s="35" t="s">
        <v>1</v>
      </c>
      <c r="L69" s="35">
        <v>7000</v>
      </c>
      <c r="M69" s="35"/>
      <c r="N69" s="35">
        <v>695</v>
      </c>
      <c r="O69" s="35" t="s">
        <v>28</v>
      </c>
    </row>
    <row r="70" spans="1:15" x14ac:dyDescent="0.25">
      <c r="A70" s="35" t="s">
        <v>128</v>
      </c>
      <c r="B70" s="36">
        <v>45700</v>
      </c>
      <c r="C70" s="35" t="s">
        <v>249</v>
      </c>
      <c r="D70" s="35" t="s">
        <v>129</v>
      </c>
      <c r="E70" s="35">
        <v>38</v>
      </c>
      <c r="F70" s="35" t="s">
        <v>37</v>
      </c>
      <c r="G70" s="35" t="s">
        <v>4</v>
      </c>
      <c r="H70" s="35">
        <v>92000</v>
      </c>
      <c r="I70" s="35" t="s">
        <v>54</v>
      </c>
      <c r="J70" s="35">
        <v>10400</v>
      </c>
      <c r="K70" s="35" t="s">
        <v>23</v>
      </c>
      <c r="L70" s="35">
        <v>20000</v>
      </c>
      <c r="M70" s="35">
        <v>12000</v>
      </c>
      <c r="N70" s="35">
        <v>755</v>
      </c>
      <c r="O70" s="35" t="s">
        <v>24</v>
      </c>
    </row>
    <row r="71" spans="1:15" x14ac:dyDescent="0.25">
      <c r="A71" s="35" t="s">
        <v>130</v>
      </c>
      <c r="B71" s="36">
        <v>45701</v>
      </c>
      <c r="C71" s="35" t="s">
        <v>250</v>
      </c>
      <c r="D71" s="35" t="s">
        <v>131</v>
      </c>
      <c r="E71" s="35">
        <v>34</v>
      </c>
      <c r="F71" s="35" t="s">
        <v>45</v>
      </c>
      <c r="G71" s="35" t="s">
        <v>32</v>
      </c>
      <c r="H71" s="35">
        <v>142000</v>
      </c>
      <c r="I71" s="35" t="s">
        <v>9</v>
      </c>
      <c r="J71" s="35">
        <v>36000</v>
      </c>
      <c r="K71" s="35" t="s">
        <v>33</v>
      </c>
      <c r="L71" s="35">
        <v>45000</v>
      </c>
      <c r="M71" s="35">
        <v>20000</v>
      </c>
      <c r="N71" s="35">
        <v>812</v>
      </c>
      <c r="O71" s="35" t="s">
        <v>34</v>
      </c>
    </row>
    <row r="72" spans="1:15" x14ac:dyDescent="0.25">
      <c r="A72" s="35" t="s">
        <v>132</v>
      </c>
      <c r="B72" s="36">
        <v>45702</v>
      </c>
      <c r="C72" s="35" t="s">
        <v>251</v>
      </c>
      <c r="D72" s="35" t="s">
        <v>133</v>
      </c>
      <c r="E72" s="35">
        <v>43</v>
      </c>
      <c r="F72" s="35" t="s">
        <v>84</v>
      </c>
      <c r="G72" s="35" t="s">
        <v>4</v>
      </c>
      <c r="H72" s="35">
        <v>61000</v>
      </c>
      <c r="I72" s="35" t="s">
        <v>7</v>
      </c>
      <c r="J72" s="35">
        <v>5900</v>
      </c>
      <c r="K72" s="35" t="s">
        <v>0</v>
      </c>
      <c r="L72" s="35">
        <v>8000</v>
      </c>
      <c r="M72" s="35">
        <v>7000</v>
      </c>
      <c r="N72" s="35">
        <v>676</v>
      </c>
      <c r="O72" s="35" t="s">
        <v>38</v>
      </c>
    </row>
    <row r="73" spans="1:15" x14ac:dyDescent="0.25">
      <c r="A73" s="35" t="s">
        <v>134</v>
      </c>
      <c r="B73" s="36">
        <v>45703</v>
      </c>
      <c r="C73" s="35" t="s">
        <v>252</v>
      </c>
      <c r="D73" s="35" t="s">
        <v>135</v>
      </c>
      <c r="E73" s="35">
        <v>29</v>
      </c>
      <c r="F73" s="35" t="s">
        <v>17</v>
      </c>
      <c r="G73" s="35"/>
      <c r="H73" s="35">
        <v>73000</v>
      </c>
      <c r="I73" s="35" t="s">
        <v>42</v>
      </c>
      <c r="J73" s="35">
        <v>4100</v>
      </c>
      <c r="K73" s="35" t="s">
        <v>1</v>
      </c>
      <c r="L73" s="35">
        <v>15000</v>
      </c>
      <c r="M73" s="35">
        <v>3000</v>
      </c>
      <c r="N73" s="35">
        <v>744</v>
      </c>
      <c r="O73" s="35" t="s">
        <v>24</v>
      </c>
    </row>
    <row r="74" spans="1:15" x14ac:dyDescent="0.25">
      <c r="A74" s="35" t="s">
        <v>136</v>
      </c>
      <c r="B74" s="36">
        <v>45704</v>
      </c>
      <c r="C74" s="35" t="s">
        <v>253</v>
      </c>
      <c r="D74" s="35" t="s">
        <v>137</v>
      </c>
      <c r="E74" s="35">
        <v>37</v>
      </c>
      <c r="F74" s="35" t="s">
        <v>21</v>
      </c>
      <c r="G74" s="35" t="s">
        <v>22</v>
      </c>
      <c r="H74" s="35">
        <v>64000</v>
      </c>
      <c r="I74" s="35" t="s">
        <v>63</v>
      </c>
      <c r="J74" s="35">
        <v>5600</v>
      </c>
      <c r="K74" s="35" t="s">
        <v>23</v>
      </c>
      <c r="L74" s="35">
        <v>12000</v>
      </c>
      <c r="M74" s="35">
        <v>2500</v>
      </c>
      <c r="N74" s="35">
        <v>718</v>
      </c>
      <c r="O74" s="35" t="s">
        <v>18</v>
      </c>
    </row>
    <row r="75" spans="1:15" x14ac:dyDescent="0.25">
      <c r="A75" s="35" t="s">
        <v>138</v>
      </c>
      <c r="B75" s="36">
        <v>45705</v>
      </c>
      <c r="C75" s="35" t="s">
        <v>15</v>
      </c>
      <c r="D75" s="35" t="s">
        <v>139</v>
      </c>
      <c r="E75" s="35">
        <v>26</v>
      </c>
      <c r="F75" s="35" t="s">
        <v>27</v>
      </c>
      <c r="G75" s="35" t="s">
        <v>4</v>
      </c>
      <c r="H75" s="35">
        <v>58000</v>
      </c>
      <c r="I75" s="35" t="s">
        <v>50</v>
      </c>
      <c r="J75" s="35">
        <v>6200</v>
      </c>
      <c r="K75" s="35" t="s">
        <v>1</v>
      </c>
      <c r="L75" s="35">
        <v>9000</v>
      </c>
      <c r="M75" s="35">
        <v>9800</v>
      </c>
      <c r="N75" s="35">
        <v>708</v>
      </c>
      <c r="O75" s="35" t="s">
        <v>18</v>
      </c>
    </row>
    <row r="76" spans="1:15" x14ac:dyDescent="0.25">
      <c r="A76" s="35" t="s">
        <v>140</v>
      </c>
      <c r="B76" s="36">
        <v>45706</v>
      </c>
      <c r="C76" s="35" t="s">
        <v>105</v>
      </c>
      <c r="D76" s="35" t="s">
        <v>141</v>
      </c>
      <c r="E76" s="35">
        <v>45</v>
      </c>
      <c r="F76" s="35" t="s">
        <v>31</v>
      </c>
      <c r="G76" s="35" t="s">
        <v>32</v>
      </c>
      <c r="H76" s="35">
        <v>155000</v>
      </c>
      <c r="I76" s="35" t="s">
        <v>5</v>
      </c>
      <c r="J76" s="35">
        <v>34000</v>
      </c>
      <c r="K76" s="35"/>
      <c r="L76" s="35">
        <v>50000</v>
      </c>
      <c r="M76" s="35">
        <v>22000</v>
      </c>
      <c r="N76" s="35">
        <v>820</v>
      </c>
      <c r="O76" s="35" t="s">
        <v>34</v>
      </c>
    </row>
    <row r="77" spans="1:15" x14ac:dyDescent="0.25">
      <c r="A77" s="35" t="s">
        <v>142</v>
      </c>
      <c r="B77" s="36">
        <v>45707</v>
      </c>
      <c r="C77" s="35" t="s">
        <v>163</v>
      </c>
      <c r="D77" s="35" t="s">
        <v>143</v>
      </c>
      <c r="E77" s="35">
        <v>30</v>
      </c>
      <c r="F77" s="35" t="s">
        <v>17</v>
      </c>
      <c r="G77" s="35" t="s">
        <v>4</v>
      </c>
      <c r="H77" s="35">
        <v>70000</v>
      </c>
      <c r="I77" s="35" t="s">
        <v>8</v>
      </c>
      <c r="J77" s="35">
        <v>5300</v>
      </c>
      <c r="K77" s="35" t="s">
        <v>23</v>
      </c>
      <c r="L77" s="35">
        <v>13000</v>
      </c>
      <c r="M77" s="35">
        <v>3500</v>
      </c>
      <c r="N77" s="35">
        <v>731</v>
      </c>
      <c r="O77" s="35" t="s">
        <v>24</v>
      </c>
    </row>
    <row r="78" spans="1:15" x14ac:dyDescent="0.25">
      <c r="A78" s="35" t="s">
        <v>144</v>
      </c>
      <c r="B78" s="36">
        <v>45708</v>
      </c>
      <c r="C78" s="35" t="s">
        <v>222</v>
      </c>
      <c r="D78" s="35" t="s">
        <v>145</v>
      </c>
      <c r="E78" s="35">
        <v>35</v>
      </c>
      <c r="F78" s="35" t="s">
        <v>27</v>
      </c>
      <c r="G78" s="35" t="s">
        <v>4</v>
      </c>
      <c r="H78" s="35">
        <v>84000</v>
      </c>
      <c r="I78" s="35" t="s">
        <v>6</v>
      </c>
      <c r="J78" s="35">
        <v>4800</v>
      </c>
      <c r="K78" s="35" t="s">
        <v>0</v>
      </c>
      <c r="L78" s="35">
        <v>16000</v>
      </c>
      <c r="M78" s="35">
        <v>9000</v>
      </c>
      <c r="N78" s="35">
        <v>726</v>
      </c>
      <c r="O78" s="35" t="s">
        <v>18</v>
      </c>
    </row>
    <row r="79" spans="1:15" x14ac:dyDescent="0.25">
      <c r="A79" s="35" t="s">
        <v>146</v>
      </c>
      <c r="B79" s="36">
        <v>45709</v>
      </c>
      <c r="C79" s="35" t="s">
        <v>246</v>
      </c>
      <c r="D79" s="35" t="s">
        <v>147</v>
      </c>
      <c r="E79" s="35">
        <v>28</v>
      </c>
      <c r="F79" s="35"/>
      <c r="G79" s="35" t="s">
        <v>22</v>
      </c>
      <c r="H79" s="35">
        <v>55000</v>
      </c>
      <c r="I79" s="35" t="s">
        <v>58</v>
      </c>
      <c r="J79" s="35">
        <v>8300</v>
      </c>
      <c r="K79" s="35" t="s">
        <v>1</v>
      </c>
      <c r="L79" s="35">
        <v>8500</v>
      </c>
      <c r="M79" s="35"/>
      <c r="N79" s="35">
        <v>699</v>
      </c>
      <c r="O79" s="35" t="s">
        <v>28</v>
      </c>
    </row>
    <row r="80" spans="1:15" x14ac:dyDescent="0.25">
      <c r="A80" s="35" t="s">
        <v>148</v>
      </c>
      <c r="B80" s="36">
        <v>45710</v>
      </c>
      <c r="C80" s="35" t="s">
        <v>247</v>
      </c>
      <c r="D80" s="35" t="s">
        <v>149</v>
      </c>
      <c r="E80" s="35">
        <v>40</v>
      </c>
      <c r="F80" s="35" t="s">
        <v>81</v>
      </c>
      <c r="G80" s="35" t="s">
        <v>32</v>
      </c>
      <c r="H80" s="35">
        <v>134000</v>
      </c>
      <c r="I80" s="35" t="s">
        <v>9</v>
      </c>
      <c r="J80" s="35">
        <v>31000</v>
      </c>
      <c r="K80" s="35" t="s">
        <v>33</v>
      </c>
      <c r="L80" s="35">
        <v>39000</v>
      </c>
      <c r="M80" s="35">
        <v>17000</v>
      </c>
      <c r="N80" s="35">
        <v>803</v>
      </c>
      <c r="O80" s="35" t="s">
        <v>34</v>
      </c>
    </row>
    <row r="81" spans="1:15" x14ac:dyDescent="0.25">
      <c r="A81" s="35" t="s">
        <v>150</v>
      </c>
      <c r="B81" s="36">
        <v>45711</v>
      </c>
      <c r="C81" s="35" t="s">
        <v>248</v>
      </c>
      <c r="D81" s="35" t="s">
        <v>151</v>
      </c>
      <c r="E81" s="35">
        <v>31</v>
      </c>
      <c r="F81" s="35" t="s">
        <v>21</v>
      </c>
      <c r="G81" s="35" t="s">
        <v>4</v>
      </c>
      <c r="H81" s="35">
        <v>76000</v>
      </c>
      <c r="I81" s="35" t="s">
        <v>2</v>
      </c>
      <c r="J81" s="35">
        <v>6800</v>
      </c>
      <c r="K81" s="35" t="s">
        <v>23</v>
      </c>
      <c r="L81" s="35">
        <v>14000</v>
      </c>
      <c r="M81" s="35">
        <v>4000</v>
      </c>
      <c r="N81" s="35">
        <v>739</v>
      </c>
      <c r="O81" s="35" t="s">
        <v>24</v>
      </c>
    </row>
    <row r="82" spans="1:15" x14ac:dyDescent="0.25">
      <c r="A82" s="35" t="s">
        <v>152</v>
      </c>
      <c r="B82" s="36">
        <v>45712</v>
      </c>
      <c r="C82" s="35" t="s">
        <v>249</v>
      </c>
      <c r="D82" s="35" t="s">
        <v>153</v>
      </c>
      <c r="E82" s="35">
        <v>27</v>
      </c>
      <c r="F82" s="35" t="s">
        <v>17</v>
      </c>
      <c r="G82" s="35" t="s">
        <v>4</v>
      </c>
      <c r="H82" s="35">
        <v>61000</v>
      </c>
      <c r="I82" s="35" t="s">
        <v>5</v>
      </c>
      <c r="J82" s="35">
        <v>17500</v>
      </c>
      <c r="K82" s="35" t="s">
        <v>1</v>
      </c>
      <c r="L82" s="35">
        <v>10000</v>
      </c>
      <c r="M82" s="35">
        <v>3500</v>
      </c>
      <c r="N82" s="35">
        <v>714</v>
      </c>
      <c r="O82" s="35" t="s">
        <v>18</v>
      </c>
    </row>
    <row r="83" spans="1:15" x14ac:dyDescent="0.25">
      <c r="A83" s="35" t="s">
        <v>154</v>
      </c>
      <c r="B83" s="36">
        <v>45713</v>
      </c>
      <c r="C83" s="35" t="s">
        <v>250</v>
      </c>
      <c r="D83" s="35" t="s">
        <v>155</v>
      </c>
      <c r="E83" s="35">
        <v>33</v>
      </c>
      <c r="F83" s="35" t="s">
        <v>27</v>
      </c>
      <c r="G83" s="35" t="s">
        <v>4</v>
      </c>
      <c r="H83" s="35">
        <v>85000</v>
      </c>
      <c r="I83" s="35" t="s">
        <v>42</v>
      </c>
      <c r="J83" s="35">
        <v>5200</v>
      </c>
      <c r="K83" s="35" t="s">
        <v>33</v>
      </c>
      <c r="L83" s="35">
        <v>18000</v>
      </c>
      <c r="M83" s="35">
        <v>8000</v>
      </c>
      <c r="N83" s="35">
        <v>748</v>
      </c>
      <c r="O83" s="35" t="s">
        <v>24</v>
      </c>
    </row>
    <row r="84" spans="1:15" x14ac:dyDescent="0.25">
      <c r="A84" s="35" t="s">
        <v>156</v>
      </c>
      <c r="B84" s="36">
        <v>45714</v>
      </c>
      <c r="C84" s="35" t="s">
        <v>251</v>
      </c>
      <c r="D84" s="35" t="s">
        <v>157</v>
      </c>
      <c r="E84" s="35">
        <v>24</v>
      </c>
      <c r="F84" s="35" t="s">
        <v>17</v>
      </c>
      <c r="G84" s="35" t="s">
        <v>49</v>
      </c>
      <c r="H84" s="35">
        <v>27000</v>
      </c>
      <c r="I84" s="35" t="s">
        <v>63</v>
      </c>
      <c r="J84" s="35">
        <v>3900</v>
      </c>
      <c r="K84" s="35" t="s">
        <v>0</v>
      </c>
      <c r="L84" s="35">
        <v>2500</v>
      </c>
      <c r="M84" s="35"/>
      <c r="N84" s="35">
        <v>671</v>
      </c>
      <c r="O84" s="35" t="s">
        <v>28</v>
      </c>
    </row>
    <row r="85" spans="1:15" x14ac:dyDescent="0.25">
      <c r="A85" s="35" t="s">
        <v>158</v>
      </c>
      <c r="B85" s="36">
        <v>45715</v>
      </c>
      <c r="C85" s="35" t="s">
        <v>252</v>
      </c>
      <c r="D85" s="35" t="s">
        <v>159</v>
      </c>
      <c r="E85" s="35">
        <v>39</v>
      </c>
      <c r="F85" s="35" t="s">
        <v>76</v>
      </c>
      <c r="G85" s="35"/>
      <c r="H85" s="35">
        <v>126000</v>
      </c>
      <c r="I85" s="35" t="s">
        <v>54</v>
      </c>
      <c r="J85" s="35">
        <v>11200</v>
      </c>
      <c r="K85" s="35" t="s">
        <v>23</v>
      </c>
      <c r="L85" s="35">
        <v>32000</v>
      </c>
      <c r="M85" s="35">
        <v>15000</v>
      </c>
      <c r="N85" s="35">
        <v>791</v>
      </c>
      <c r="O85" s="35" t="s">
        <v>34</v>
      </c>
    </row>
    <row r="86" spans="1:15" x14ac:dyDescent="0.25">
      <c r="A86" s="35" t="s">
        <v>160</v>
      </c>
      <c r="B86" s="36">
        <v>45716</v>
      </c>
      <c r="C86" s="35" t="s">
        <v>253</v>
      </c>
      <c r="D86" s="35" t="s">
        <v>161</v>
      </c>
      <c r="E86" s="35">
        <v>29</v>
      </c>
      <c r="F86" s="35" t="s">
        <v>57</v>
      </c>
      <c r="G86" s="35" t="s">
        <v>4</v>
      </c>
      <c r="H86" s="35">
        <v>68000</v>
      </c>
      <c r="I86" s="35" t="s">
        <v>58</v>
      </c>
      <c r="J86" s="35">
        <v>7200</v>
      </c>
      <c r="K86" s="35" t="s">
        <v>1</v>
      </c>
      <c r="L86" s="35">
        <v>12000</v>
      </c>
      <c r="M86" s="35">
        <v>2500</v>
      </c>
      <c r="N86" s="35">
        <v>733</v>
      </c>
      <c r="O86" s="35" t="s">
        <v>24</v>
      </c>
    </row>
    <row r="87" spans="1:15" x14ac:dyDescent="0.25">
      <c r="A87" s="35" t="s">
        <v>162</v>
      </c>
      <c r="B87" s="36">
        <v>45717</v>
      </c>
      <c r="C87" s="35" t="s">
        <v>15</v>
      </c>
      <c r="D87" s="35" t="s">
        <v>164</v>
      </c>
      <c r="E87" s="35">
        <v>36</v>
      </c>
      <c r="F87" s="35" t="s">
        <v>17</v>
      </c>
      <c r="G87" s="35" t="s">
        <v>4</v>
      </c>
      <c r="H87" s="35">
        <v>79000</v>
      </c>
      <c r="I87" s="35" t="s">
        <v>7</v>
      </c>
      <c r="J87" s="35">
        <v>6100</v>
      </c>
      <c r="K87" s="35" t="s">
        <v>23</v>
      </c>
      <c r="L87" s="35">
        <v>17000</v>
      </c>
      <c r="M87" s="35">
        <v>6500</v>
      </c>
      <c r="N87" s="35">
        <v>742</v>
      </c>
      <c r="O87" s="35" t="s">
        <v>24</v>
      </c>
    </row>
    <row r="88" spans="1:15" x14ac:dyDescent="0.25">
      <c r="A88" s="35" t="s">
        <v>165</v>
      </c>
      <c r="B88" s="36">
        <v>45718</v>
      </c>
      <c r="C88" s="35" t="s">
        <v>105</v>
      </c>
      <c r="D88" s="35" t="s">
        <v>166</v>
      </c>
      <c r="E88" s="35">
        <v>25</v>
      </c>
      <c r="F88" s="35" t="s">
        <v>41</v>
      </c>
      <c r="G88" s="35" t="s">
        <v>22</v>
      </c>
      <c r="H88" s="35">
        <v>49000</v>
      </c>
      <c r="I88" s="35" t="s">
        <v>8</v>
      </c>
      <c r="J88" s="35">
        <v>4700</v>
      </c>
      <c r="K88" s="35"/>
      <c r="L88" s="35">
        <v>6000</v>
      </c>
      <c r="M88" s="35">
        <v>8000</v>
      </c>
      <c r="N88" s="35">
        <v>687</v>
      </c>
      <c r="O88" s="35" t="s">
        <v>28</v>
      </c>
    </row>
    <row r="89" spans="1:15" x14ac:dyDescent="0.25">
      <c r="A89" s="35" t="s">
        <v>167</v>
      </c>
      <c r="B89" s="36">
        <v>45719</v>
      </c>
      <c r="C89" s="35" t="s">
        <v>163</v>
      </c>
      <c r="D89" s="35" t="s">
        <v>168</v>
      </c>
      <c r="E89" s="35">
        <v>42</v>
      </c>
      <c r="F89" s="35" t="s">
        <v>84</v>
      </c>
      <c r="G89" s="35" t="s">
        <v>32</v>
      </c>
      <c r="H89" s="35">
        <v>146000</v>
      </c>
      <c r="I89" s="35" t="s">
        <v>9</v>
      </c>
      <c r="J89" s="35">
        <v>39000</v>
      </c>
      <c r="K89" s="35" t="s">
        <v>46</v>
      </c>
      <c r="L89" s="35">
        <v>47000</v>
      </c>
      <c r="M89" s="35">
        <v>21000</v>
      </c>
      <c r="N89" s="35">
        <v>809</v>
      </c>
      <c r="O89" s="35" t="s">
        <v>34</v>
      </c>
    </row>
    <row r="90" spans="1:15" x14ac:dyDescent="0.25">
      <c r="A90" s="35" t="s">
        <v>169</v>
      </c>
      <c r="B90" s="36">
        <v>45720</v>
      </c>
      <c r="C90" s="35" t="s">
        <v>222</v>
      </c>
      <c r="D90" s="35" t="s">
        <v>170</v>
      </c>
      <c r="E90" s="35">
        <v>31</v>
      </c>
      <c r="F90" s="35" t="s">
        <v>17</v>
      </c>
      <c r="G90" s="35" t="s">
        <v>4</v>
      </c>
      <c r="H90" s="35">
        <v>71000</v>
      </c>
      <c r="I90" s="35" t="s">
        <v>42</v>
      </c>
      <c r="J90" s="35">
        <v>4500</v>
      </c>
      <c r="K90" s="35" t="s">
        <v>1</v>
      </c>
      <c r="L90" s="35">
        <v>14000</v>
      </c>
      <c r="M90" s="35">
        <v>3500</v>
      </c>
      <c r="N90" s="35">
        <v>737</v>
      </c>
      <c r="O90" s="35" t="s">
        <v>24</v>
      </c>
    </row>
    <row r="91" spans="1:15" x14ac:dyDescent="0.25">
      <c r="A91" s="35" t="s">
        <v>171</v>
      </c>
      <c r="B91" s="36">
        <v>45721</v>
      </c>
      <c r="C91" s="35" t="s">
        <v>246</v>
      </c>
      <c r="D91" s="35" t="s">
        <v>172</v>
      </c>
      <c r="E91" s="35">
        <v>28</v>
      </c>
      <c r="F91" s="35"/>
      <c r="G91" s="35" t="s">
        <v>4</v>
      </c>
      <c r="H91" s="35">
        <v>64000</v>
      </c>
      <c r="I91" s="35" t="s">
        <v>6</v>
      </c>
      <c r="J91" s="35">
        <v>5100</v>
      </c>
      <c r="K91" s="35" t="s">
        <v>0</v>
      </c>
      <c r="L91" s="35">
        <v>11000</v>
      </c>
      <c r="M91" s="35">
        <v>4000</v>
      </c>
      <c r="N91" s="35">
        <v>716</v>
      </c>
      <c r="O91" s="35" t="s">
        <v>18</v>
      </c>
    </row>
    <row r="92" spans="1:15" x14ac:dyDescent="0.25">
      <c r="A92" s="35" t="s">
        <v>173</v>
      </c>
      <c r="B92" s="36">
        <v>45722</v>
      </c>
      <c r="C92" s="35" t="s">
        <v>247</v>
      </c>
      <c r="D92" s="35" t="s">
        <v>174</v>
      </c>
      <c r="E92" s="35">
        <v>27</v>
      </c>
      <c r="F92" s="35" t="s">
        <v>17</v>
      </c>
      <c r="G92" s="35" t="s">
        <v>22</v>
      </c>
      <c r="H92" s="35">
        <v>54000</v>
      </c>
      <c r="I92" s="35" t="s">
        <v>63</v>
      </c>
      <c r="J92" s="35">
        <v>5900</v>
      </c>
      <c r="K92" s="35" t="s">
        <v>23</v>
      </c>
      <c r="L92" s="35">
        <v>7000</v>
      </c>
      <c r="M92" s="35"/>
      <c r="N92" s="35">
        <v>697</v>
      </c>
      <c r="O92" s="35" t="s">
        <v>28</v>
      </c>
    </row>
    <row r="93" spans="1:15" x14ac:dyDescent="0.25">
      <c r="A93" s="35" t="s">
        <v>175</v>
      </c>
      <c r="B93" s="36">
        <v>45723</v>
      </c>
      <c r="C93" s="35" t="s">
        <v>248</v>
      </c>
      <c r="D93" s="35" t="s">
        <v>176</v>
      </c>
      <c r="E93" s="35">
        <v>44</v>
      </c>
      <c r="F93" s="35" t="s">
        <v>21</v>
      </c>
      <c r="G93" s="35" t="s">
        <v>32</v>
      </c>
      <c r="H93" s="35">
        <v>152000</v>
      </c>
      <c r="I93" s="35" t="s">
        <v>5</v>
      </c>
      <c r="J93" s="35">
        <v>36000</v>
      </c>
      <c r="K93" s="35" t="s">
        <v>33</v>
      </c>
      <c r="L93" s="35">
        <v>52000</v>
      </c>
      <c r="M93" s="35">
        <v>24000</v>
      </c>
      <c r="N93" s="35">
        <v>818</v>
      </c>
      <c r="O93" s="35" t="s">
        <v>34</v>
      </c>
    </row>
    <row r="94" spans="1:15" x14ac:dyDescent="0.25">
      <c r="A94" s="35" t="s">
        <v>177</v>
      </c>
      <c r="B94" s="36">
        <v>45724</v>
      </c>
      <c r="C94" s="35" t="s">
        <v>249</v>
      </c>
      <c r="D94" s="35" t="s">
        <v>178</v>
      </c>
      <c r="E94" s="35">
        <v>30</v>
      </c>
      <c r="F94" s="35" t="s">
        <v>27</v>
      </c>
      <c r="G94" s="35"/>
      <c r="H94" s="35">
        <v>73000</v>
      </c>
      <c r="I94" s="35" t="s">
        <v>58</v>
      </c>
      <c r="J94" s="35">
        <v>8400</v>
      </c>
      <c r="K94" s="35" t="s">
        <v>1</v>
      </c>
      <c r="L94" s="35">
        <v>13000</v>
      </c>
      <c r="M94" s="35">
        <v>5000</v>
      </c>
      <c r="N94" s="35">
        <v>729</v>
      </c>
      <c r="O94" s="35" t="s">
        <v>24</v>
      </c>
    </row>
    <row r="95" spans="1:15" x14ac:dyDescent="0.25">
      <c r="A95" s="35" t="s">
        <v>179</v>
      </c>
      <c r="B95" s="36">
        <v>45725</v>
      </c>
      <c r="C95" s="35" t="s">
        <v>250</v>
      </c>
      <c r="D95" s="35" t="s">
        <v>180</v>
      </c>
      <c r="E95" s="35">
        <v>35</v>
      </c>
      <c r="F95" s="35" t="s">
        <v>17</v>
      </c>
      <c r="G95" s="35" t="s">
        <v>4</v>
      </c>
      <c r="H95" s="35">
        <v>82000</v>
      </c>
      <c r="I95" s="35" t="s">
        <v>54</v>
      </c>
      <c r="J95" s="35">
        <v>9800</v>
      </c>
      <c r="K95" s="35" t="s">
        <v>23</v>
      </c>
      <c r="L95" s="35">
        <v>19000</v>
      </c>
      <c r="M95" s="35">
        <v>9000</v>
      </c>
      <c r="N95" s="35">
        <v>745</v>
      </c>
      <c r="O95" s="35" t="s">
        <v>24</v>
      </c>
    </row>
    <row r="96" spans="1:15" x14ac:dyDescent="0.25">
      <c r="A96" s="35" t="s">
        <v>181</v>
      </c>
      <c r="B96" s="36">
        <v>45726</v>
      </c>
      <c r="C96" s="35" t="s">
        <v>251</v>
      </c>
      <c r="D96" s="35" t="s">
        <v>182</v>
      </c>
      <c r="E96" s="35">
        <v>26</v>
      </c>
      <c r="F96" s="35" t="s">
        <v>53</v>
      </c>
      <c r="G96" s="35" t="s">
        <v>22</v>
      </c>
      <c r="H96" s="35">
        <v>51000</v>
      </c>
      <c r="I96" s="35"/>
      <c r="J96" s="35">
        <v>4300</v>
      </c>
      <c r="K96" s="35" t="s">
        <v>1</v>
      </c>
      <c r="L96" s="35">
        <v>6500</v>
      </c>
      <c r="M96" s="35">
        <v>7000</v>
      </c>
      <c r="N96" s="35">
        <v>692</v>
      </c>
      <c r="O96" s="35" t="s">
        <v>28</v>
      </c>
    </row>
    <row r="97" spans="1:15" x14ac:dyDescent="0.25">
      <c r="A97" s="35" t="s">
        <v>183</v>
      </c>
      <c r="B97" s="36">
        <v>45727</v>
      </c>
      <c r="C97" s="35" t="s">
        <v>252</v>
      </c>
      <c r="D97" s="35" t="s">
        <v>184</v>
      </c>
      <c r="E97" s="35">
        <v>41</v>
      </c>
      <c r="F97" s="35" t="s">
        <v>81</v>
      </c>
      <c r="G97" s="35" t="s">
        <v>32</v>
      </c>
      <c r="H97" s="35">
        <v>129000</v>
      </c>
      <c r="I97" s="35" t="s">
        <v>9</v>
      </c>
      <c r="J97" s="35">
        <v>30000</v>
      </c>
      <c r="K97" s="35" t="s">
        <v>46</v>
      </c>
      <c r="L97" s="35">
        <v>36000</v>
      </c>
      <c r="M97" s="35">
        <v>16000</v>
      </c>
      <c r="N97" s="35">
        <v>796</v>
      </c>
      <c r="O97" s="35" t="s">
        <v>34</v>
      </c>
    </row>
    <row r="98" spans="1:15" x14ac:dyDescent="0.25">
      <c r="A98" s="35" t="s">
        <v>185</v>
      </c>
      <c r="B98" s="36">
        <v>45728</v>
      </c>
      <c r="C98" s="35" t="s">
        <v>253</v>
      </c>
      <c r="D98" s="35" t="s">
        <v>186</v>
      </c>
      <c r="E98" s="35">
        <v>32</v>
      </c>
      <c r="F98" s="35" t="s">
        <v>17</v>
      </c>
      <c r="G98" s="35" t="s">
        <v>4</v>
      </c>
      <c r="H98" s="35">
        <v>69000</v>
      </c>
      <c r="I98" s="35" t="s">
        <v>2</v>
      </c>
      <c r="J98" s="35">
        <v>6700</v>
      </c>
      <c r="K98" s="35" t="s">
        <v>23</v>
      </c>
      <c r="L98" s="35">
        <v>12500</v>
      </c>
      <c r="M98" s="35">
        <v>3000</v>
      </c>
      <c r="N98" s="35">
        <v>734</v>
      </c>
      <c r="O98" s="35" t="s">
        <v>24</v>
      </c>
    </row>
    <row r="99" spans="1:15" x14ac:dyDescent="0.25">
      <c r="A99" s="35" t="s">
        <v>187</v>
      </c>
      <c r="B99" s="36">
        <v>45729</v>
      </c>
      <c r="C99" s="35" t="s">
        <v>15</v>
      </c>
      <c r="D99" s="35" t="s">
        <v>188</v>
      </c>
      <c r="E99" s="35">
        <v>29</v>
      </c>
      <c r="F99" s="35" t="s">
        <v>27</v>
      </c>
      <c r="G99" s="35" t="s">
        <v>4</v>
      </c>
      <c r="H99" s="35">
        <v>66000</v>
      </c>
      <c r="I99" s="35" t="s">
        <v>5</v>
      </c>
      <c r="J99" s="35">
        <v>20000</v>
      </c>
      <c r="K99" s="35" t="s">
        <v>1</v>
      </c>
      <c r="L99" s="35">
        <v>9000</v>
      </c>
      <c r="M99" s="35">
        <v>4500</v>
      </c>
      <c r="N99" s="35">
        <v>710</v>
      </c>
      <c r="O99" s="35" t="s">
        <v>18</v>
      </c>
    </row>
    <row r="100" spans="1:15" x14ac:dyDescent="0.25">
      <c r="A100" s="35" t="s">
        <v>189</v>
      </c>
      <c r="B100" s="36">
        <v>45730</v>
      </c>
      <c r="C100" s="35" t="s">
        <v>105</v>
      </c>
      <c r="D100" s="35" t="s">
        <v>190</v>
      </c>
      <c r="E100" s="35">
        <v>24</v>
      </c>
      <c r="F100" s="35"/>
      <c r="G100" s="35"/>
      <c r="H100" s="35">
        <v>32000</v>
      </c>
      <c r="I100" s="35"/>
      <c r="J100" s="35">
        <v>3900</v>
      </c>
      <c r="K100" s="35"/>
      <c r="L100" s="35">
        <v>3500</v>
      </c>
      <c r="M100" s="35"/>
      <c r="N100" s="35">
        <v>678</v>
      </c>
      <c r="O100" s="35" t="s">
        <v>28</v>
      </c>
    </row>
  </sheetData>
  <mergeCells count="1">
    <mergeCell ref="A1:O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
  <sheetViews>
    <sheetView topLeftCell="F72" zoomScale="82" zoomScaleNormal="82" workbookViewId="0">
      <selection activeCell="J91" sqref="J91"/>
    </sheetView>
  </sheetViews>
  <sheetFormatPr defaultRowHeight="15" x14ac:dyDescent="0.25"/>
  <cols>
    <col min="2" max="2" width="9.5703125" bestFit="1" customWidth="1"/>
    <col min="3" max="3" width="10" bestFit="1" customWidth="1"/>
    <col min="4" max="4" width="15.140625" bestFit="1" customWidth="1"/>
    <col min="5" max="5" width="4.85546875" bestFit="1" customWidth="1"/>
    <col min="6" max="6" width="11.140625" bestFit="1" customWidth="1"/>
    <col min="7" max="7" width="15.140625" bestFit="1" customWidth="1"/>
    <col min="8" max="8" width="16.5703125" bestFit="1" customWidth="1"/>
    <col min="9" max="9" width="19.140625" bestFit="1" customWidth="1"/>
    <col min="10" max="10" width="17.42578125" bestFit="1" customWidth="1"/>
    <col min="11" max="11" width="17.85546875" bestFit="1" customWidth="1"/>
    <col min="12" max="12" width="8.140625" bestFit="1" customWidth="1"/>
    <col min="13" max="13" width="11.28515625" bestFit="1" customWidth="1"/>
    <col min="14" max="14" width="13.5703125" bestFit="1" customWidth="1"/>
    <col min="15" max="15" width="16.28515625" bestFit="1" customWidth="1"/>
    <col min="16" max="16" width="11.140625" bestFit="1" customWidth="1"/>
    <col min="17" max="17" width="16.85546875" bestFit="1" customWidth="1"/>
    <col min="18" max="18" width="20.28515625" bestFit="1" customWidth="1"/>
    <col min="19" max="19" width="12.42578125" bestFit="1" customWidth="1"/>
    <col min="20" max="20" width="19" bestFit="1" customWidth="1"/>
  </cols>
  <sheetData>
    <row r="1" spans="1:20" ht="26.25" x14ac:dyDescent="0.4">
      <c r="A1" s="75" t="s">
        <v>275</v>
      </c>
      <c r="B1" s="76"/>
      <c r="C1" s="76"/>
      <c r="D1" s="76"/>
      <c r="E1" s="76"/>
      <c r="F1" s="76"/>
      <c r="G1" s="76"/>
      <c r="H1" s="76"/>
      <c r="I1" s="76"/>
      <c r="J1" s="76"/>
      <c r="K1" s="76"/>
      <c r="L1" s="76"/>
      <c r="M1" s="76"/>
      <c r="N1" s="76"/>
      <c r="O1" s="76"/>
      <c r="P1" s="76"/>
      <c r="Q1" s="76"/>
      <c r="R1" s="76"/>
      <c r="S1" s="76"/>
      <c r="T1" s="76"/>
    </row>
    <row r="2" spans="1:20" x14ac:dyDescent="0.25">
      <c r="A2" s="12" t="s">
        <v>244</v>
      </c>
      <c r="B2" s="12" t="s">
        <v>3</v>
      </c>
      <c r="C2" s="12" t="s">
        <v>10</v>
      </c>
      <c r="D2" s="12" t="s">
        <v>267</v>
      </c>
      <c r="E2" s="12" t="s">
        <v>11</v>
      </c>
      <c r="F2" s="12" t="s">
        <v>12</v>
      </c>
      <c r="G2" s="12" t="s">
        <v>268</v>
      </c>
      <c r="H2" s="12" t="s">
        <v>259</v>
      </c>
      <c r="I2" s="12" t="s">
        <v>261</v>
      </c>
      <c r="J2" s="12" t="s">
        <v>270</v>
      </c>
      <c r="K2" s="12" t="s">
        <v>269</v>
      </c>
      <c r="L2" s="12" t="s">
        <v>13</v>
      </c>
      <c r="M2" s="12" t="s">
        <v>264</v>
      </c>
      <c r="N2" s="12" t="s">
        <v>273</v>
      </c>
      <c r="O2" s="12" t="s">
        <v>274</v>
      </c>
      <c r="P2" s="50" t="s">
        <v>245</v>
      </c>
      <c r="Q2" s="50" t="s">
        <v>276</v>
      </c>
      <c r="R2" s="50" t="s">
        <v>277</v>
      </c>
      <c r="S2" s="50" t="s">
        <v>278</v>
      </c>
      <c r="T2" s="50" t="s">
        <v>279</v>
      </c>
    </row>
    <row r="3" spans="1:20" x14ac:dyDescent="0.25">
      <c r="A3" s="35" t="s">
        <v>14</v>
      </c>
      <c r="B3" s="36">
        <v>45659</v>
      </c>
      <c r="C3" s="35" t="s">
        <v>15</v>
      </c>
      <c r="D3" s="35" t="s">
        <v>16</v>
      </c>
      <c r="E3" s="35">
        <v>29</v>
      </c>
      <c r="F3" s="35" t="s">
        <v>17</v>
      </c>
      <c r="G3" s="35" t="s">
        <v>4</v>
      </c>
      <c r="H3" s="35">
        <v>65000</v>
      </c>
      <c r="I3" s="35" t="s">
        <v>5</v>
      </c>
      <c r="J3" s="35">
        <v>18000</v>
      </c>
      <c r="K3" s="35" t="s">
        <v>1</v>
      </c>
      <c r="L3" s="35">
        <v>12000</v>
      </c>
      <c r="M3" s="35">
        <v>5000</v>
      </c>
      <c r="N3" s="35">
        <v>742</v>
      </c>
      <c r="O3" s="35" t="s">
        <v>18</v>
      </c>
      <c r="P3" s="11" t="str">
        <f>IF(COUNTBLANK(#REF!)=0,#REF!,"Unknown")</f>
        <v>Kolkata</v>
      </c>
      <c r="Q3" s="11" t="str">
        <f>IF(COUNTBLANK(#REF!)=0,#REF!,"Unknown")</f>
        <v>Salary</v>
      </c>
      <c r="R3" s="11" t="str">
        <f>IF(COUNTBLANK(#REF!)=0,#REF!,"Unknown")</f>
        <v>Rent</v>
      </c>
      <c r="S3" s="11">
        <f>IF(COUNTBLANK(#REF!)=0,#REF!,0)</f>
        <v>5000</v>
      </c>
      <c r="T3" s="11" t="str">
        <f t="shared" ref="T3:T34" si="0">IF(COUNTBLANK(K3)=0,K3,"Cash/UPI")</f>
        <v>UPI</v>
      </c>
    </row>
    <row r="4" spans="1:20" x14ac:dyDescent="0.25">
      <c r="A4" s="35" t="s">
        <v>19</v>
      </c>
      <c r="B4" s="36">
        <v>45660</v>
      </c>
      <c r="C4" s="35" t="s">
        <v>105</v>
      </c>
      <c r="D4" s="35" t="s">
        <v>20</v>
      </c>
      <c r="E4" s="35">
        <v>34</v>
      </c>
      <c r="F4" s="35" t="s">
        <v>21</v>
      </c>
      <c r="G4" s="35" t="s">
        <v>22</v>
      </c>
      <c r="H4" s="35">
        <v>72000</v>
      </c>
      <c r="I4" s="35" t="s">
        <v>2</v>
      </c>
      <c r="J4" s="35">
        <v>6500</v>
      </c>
      <c r="K4" s="35" t="s">
        <v>23</v>
      </c>
      <c r="L4" s="35">
        <v>15000</v>
      </c>
      <c r="M4" s="35"/>
      <c r="N4" s="35">
        <v>788</v>
      </c>
      <c r="O4" s="35" t="s">
        <v>24</v>
      </c>
      <c r="P4" s="11" t="str">
        <f>IF(COUNTBLANK(#REF!)=0,#REF!,"Unknown")</f>
        <v>Mumbai</v>
      </c>
      <c r="Q4" s="11" t="str">
        <f>IF(COUNTBLANK(#REF!)=0,#REF!,"Unknown")</f>
        <v>Freelancing</v>
      </c>
      <c r="R4" s="11" t="str">
        <f>IF(COUNTBLANK(#REF!)=0,#REF!,"Unknown")</f>
        <v>Groceries</v>
      </c>
      <c r="S4" s="11">
        <f>IF(COUNTBLANK(#REF!)=0,#REF!,0)</f>
        <v>0</v>
      </c>
      <c r="T4" s="11" t="str">
        <f t="shared" si="0"/>
        <v>Card</v>
      </c>
    </row>
    <row r="5" spans="1:20" x14ac:dyDescent="0.25">
      <c r="A5" s="35" t="s">
        <v>25</v>
      </c>
      <c r="B5" s="36">
        <v>45661</v>
      </c>
      <c r="C5" s="35" t="s">
        <v>163</v>
      </c>
      <c r="D5" s="35" t="s">
        <v>26</v>
      </c>
      <c r="E5" s="35">
        <v>26</v>
      </c>
      <c r="F5" s="35"/>
      <c r="G5" s="35" t="s">
        <v>4</v>
      </c>
      <c r="H5" s="35">
        <v>54000</v>
      </c>
      <c r="I5" s="35"/>
      <c r="J5" s="35">
        <v>3200</v>
      </c>
      <c r="K5" s="35" t="s">
        <v>0</v>
      </c>
      <c r="L5" s="35">
        <v>8000</v>
      </c>
      <c r="M5" s="35">
        <v>2500</v>
      </c>
      <c r="N5" s="35">
        <v>689</v>
      </c>
      <c r="O5" s="35" t="s">
        <v>28</v>
      </c>
      <c r="P5" s="11" t="str">
        <f>IF(COUNTBLANK(#REF!)=0,#REF!,"Unknown")</f>
        <v>Unknown</v>
      </c>
      <c r="Q5" s="11" t="str">
        <f>IF(COUNTBLANK(#REF!)=0,#REF!,"Unknown")</f>
        <v>Salary</v>
      </c>
      <c r="R5" s="11" t="str">
        <f>IF(COUNTBLANK(#REF!)=0,#REF!,"Unknown")</f>
        <v>Unknown</v>
      </c>
      <c r="S5" s="11">
        <f>IF(COUNTBLANK(#REF!)=0,#REF!,0)</f>
        <v>2500</v>
      </c>
      <c r="T5" s="11" t="str">
        <f t="shared" si="0"/>
        <v>Cash</v>
      </c>
    </row>
    <row r="6" spans="1:20" x14ac:dyDescent="0.25">
      <c r="A6" s="35" t="s">
        <v>29</v>
      </c>
      <c r="B6" s="36">
        <v>45662</v>
      </c>
      <c r="C6" s="35" t="s">
        <v>222</v>
      </c>
      <c r="D6" s="35" t="s">
        <v>30</v>
      </c>
      <c r="E6" s="35">
        <v>31</v>
      </c>
      <c r="F6" s="35" t="s">
        <v>31</v>
      </c>
      <c r="G6" s="35" t="s">
        <v>32</v>
      </c>
      <c r="H6" s="35">
        <v>98000</v>
      </c>
      <c r="I6" s="35" t="s">
        <v>7</v>
      </c>
      <c r="J6" s="35">
        <v>5400</v>
      </c>
      <c r="K6" s="35" t="s">
        <v>33</v>
      </c>
      <c r="L6" s="35">
        <v>25000</v>
      </c>
      <c r="M6" s="35">
        <v>8000</v>
      </c>
      <c r="N6" s="35">
        <v>801</v>
      </c>
      <c r="O6" s="35" t="s">
        <v>34</v>
      </c>
      <c r="P6" s="11" t="str">
        <f>IF(COUNTBLANK(#REF!)=0,#REF!,"Unknown")</f>
        <v>Bangalore</v>
      </c>
      <c r="Q6" s="11" t="str">
        <f>IF(COUNTBLANK(#REF!)=0,#REF!,"Unknown")</f>
        <v>Business</v>
      </c>
      <c r="R6" s="11" t="str">
        <f>IF(COUNTBLANK(#REF!)=0,#REF!,"Unknown")</f>
        <v>Utilities</v>
      </c>
      <c r="S6" s="11">
        <f>IF(COUNTBLANK(#REF!)=0,#REF!,0)</f>
        <v>8000</v>
      </c>
      <c r="T6" s="11" t="str">
        <f t="shared" si="0"/>
        <v>NetBanking</v>
      </c>
    </row>
    <row r="7" spans="1:20" x14ac:dyDescent="0.25">
      <c r="A7" s="35" t="s">
        <v>35</v>
      </c>
      <c r="B7" s="36">
        <v>45663</v>
      </c>
      <c r="C7" s="35" t="s">
        <v>246</v>
      </c>
      <c r="D7" s="35" t="s">
        <v>36</v>
      </c>
      <c r="E7" s="35">
        <v>38</v>
      </c>
      <c r="F7" s="35" t="s">
        <v>37</v>
      </c>
      <c r="G7" s="35" t="s">
        <v>4</v>
      </c>
      <c r="H7" s="35">
        <v>85000</v>
      </c>
      <c r="I7" s="35" t="s">
        <v>8</v>
      </c>
      <c r="J7" s="35">
        <v>7600</v>
      </c>
      <c r="K7" s="35" t="s">
        <v>23</v>
      </c>
      <c r="L7" s="35">
        <v>10000</v>
      </c>
      <c r="M7" s="35">
        <v>12000</v>
      </c>
      <c r="N7" s="35">
        <v>655</v>
      </c>
      <c r="O7" s="35" t="s">
        <v>38</v>
      </c>
      <c r="P7" s="11" t="str">
        <f>IF(COUNTBLANK(#REF!)=0,#REF!,"Unknown")</f>
        <v>Hyderabad</v>
      </c>
      <c r="Q7" s="11" t="str">
        <f>IF(COUNTBLANK(#REF!)=0,#REF!,"Unknown")</f>
        <v>Salary</v>
      </c>
      <c r="R7" s="11" t="str">
        <f>IF(COUNTBLANK(#REF!)=0,#REF!,"Unknown")</f>
        <v>Entertainment</v>
      </c>
      <c r="S7" s="11">
        <f>IF(COUNTBLANK(#REF!)=0,#REF!,0)</f>
        <v>12000</v>
      </c>
      <c r="T7" s="11" t="str">
        <f t="shared" si="0"/>
        <v>Card</v>
      </c>
    </row>
    <row r="8" spans="1:20" x14ac:dyDescent="0.25">
      <c r="A8" s="35" t="s">
        <v>39</v>
      </c>
      <c r="B8" s="36">
        <v>45664</v>
      </c>
      <c r="C8" s="35" t="s">
        <v>247</v>
      </c>
      <c r="D8" s="35" t="s">
        <v>40</v>
      </c>
      <c r="E8" s="35">
        <v>27</v>
      </c>
      <c r="F8" s="35" t="s">
        <v>41</v>
      </c>
      <c r="G8" s="35" t="str">
        <f>IF(COUNTBLANK(G3)=0,G3,"UKNOWN")</f>
        <v>Salary</v>
      </c>
      <c r="H8" s="35">
        <v>61000</v>
      </c>
      <c r="I8" s="35" t="s">
        <v>42</v>
      </c>
      <c r="J8" s="35">
        <v>2400</v>
      </c>
      <c r="K8" s="35" t="s">
        <v>1</v>
      </c>
      <c r="L8" s="35">
        <v>17000</v>
      </c>
      <c r="M8" s="35"/>
      <c r="N8" s="35">
        <v>771</v>
      </c>
      <c r="O8" s="35" t="s">
        <v>24</v>
      </c>
      <c r="P8" s="11" t="str">
        <f>IF(COUNTBLANK(#REF!)=0,#REF!,"Unknown")</f>
        <v>Pune</v>
      </c>
      <c r="Q8" s="11" t="str">
        <f>IF(COUNTBLANK(#REF!)=0,#REF!,"Unknown")</f>
        <v>Salary</v>
      </c>
      <c r="R8" s="11" t="str">
        <f>IF(COUNTBLANK(#REF!)=0,#REF!,"Unknown")</f>
        <v>Healthcare</v>
      </c>
      <c r="S8" s="11">
        <f>IF(COUNTBLANK(#REF!)=0,#REF!,0)</f>
        <v>0</v>
      </c>
      <c r="T8" s="11" t="str">
        <f t="shared" si="0"/>
        <v>UPI</v>
      </c>
    </row>
    <row r="9" spans="1:20" x14ac:dyDescent="0.25">
      <c r="A9" s="35" t="s">
        <v>43</v>
      </c>
      <c r="B9" s="36">
        <v>45665</v>
      </c>
      <c r="C9" s="35" t="s">
        <v>248</v>
      </c>
      <c r="D9" s="35" t="s">
        <v>44</v>
      </c>
      <c r="E9" s="35">
        <v>42</v>
      </c>
      <c r="F9" s="35" t="s">
        <v>45</v>
      </c>
      <c r="G9" s="35" t="s">
        <v>32</v>
      </c>
      <c r="H9" s="35">
        <v>120000</v>
      </c>
      <c r="I9" s="35" t="s">
        <v>5</v>
      </c>
      <c r="J9" s="35">
        <v>25000</v>
      </c>
      <c r="K9" s="35" t="s">
        <v>46</v>
      </c>
      <c r="L9" s="35">
        <v>35000</v>
      </c>
      <c r="M9" s="35">
        <v>18000</v>
      </c>
      <c r="N9" s="35">
        <v>720</v>
      </c>
      <c r="O9" s="35" t="s">
        <v>18</v>
      </c>
      <c r="P9" s="11" t="str">
        <f>IF(COUNTBLANK(#REF!)=0,#REF!,"Unknown")</f>
        <v>Chennai</v>
      </c>
      <c r="Q9" s="11" t="str">
        <f>IF(COUNTBLANK(#REF!)=0,#REF!,"Unknown")</f>
        <v>Business</v>
      </c>
      <c r="R9" s="11" t="str">
        <f>IF(COUNTBLANK(#REF!)=0,#REF!,"Unknown")</f>
        <v>Rent</v>
      </c>
      <c r="S9" s="11">
        <f>IF(COUNTBLANK(#REF!)=0,#REF!,0)</f>
        <v>18000</v>
      </c>
      <c r="T9" s="11" t="str">
        <f t="shared" si="0"/>
        <v>Cheque</v>
      </c>
    </row>
    <row r="10" spans="1:20" x14ac:dyDescent="0.25">
      <c r="A10" s="35" t="s">
        <v>47</v>
      </c>
      <c r="B10" s="36">
        <v>45666</v>
      </c>
      <c r="C10" s="35" t="s">
        <v>249</v>
      </c>
      <c r="D10" s="35" t="s">
        <v>48</v>
      </c>
      <c r="E10" s="35">
        <v>24</v>
      </c>
      <c r="F10" s="35" t="s">
        <v>17</v>
      </c>
      <c r="G10" s="35" t="s">
        <v>49</v>
      </c>
      <c r="H10" s="35">
        <v>28000</v>
      </c>
      <c r="I10" s="35" t="s">
        <v>50</v>
      </c>
      <c r="J10" s="35">
        <v>4500</v>
      </c>
      <c r="K10" s="35" t="s">
        <v>1</v>
      </c>
      <c r="L10" s="35">
        <v>5000</v>
      </c>
      <c r="M10" s="35"/>
      <c r="N10" s="35">
        <v>690</v>
      </c>
      <c r="O10" s="35" t="s">
        <v>28</v>
      </c>
      <c r="P10" s="11" t="str">
        <f>IF(COUNTBLANK(#REF!)=0,#REF!,"Unknown")</f>
        <v>Kolkata</v>
      </c>
      <c r="Q10" s="11" t="str">
        <f>IF(COUNTBLANK(#REF!)=0,#REF!,"Unknown")</f>
        <v>Internship</v>
      </c>
      <c r="R10" s="11" t="str">
        <f>IF(COUNTBLANK(#REF!)=0,#REF!,"Unknown")</f>
        <v>Education</v>
      </c>
      <c r="S10" s="11">
        <f>IF(COUNTBLANK(#REF!)=0,#REF!,0)</f>
        <v>0</v>
      </c>
      <c r="T10" s="11" t="str">
        <f t="shared" si="0"/>
        <v>UPI</v>
      </c>
    </row>
    <row r="11" spans="1:20" x14ac:dyDescent="0.25">
      <c r="A11" s="35" t="s">
        <v>51</v>
      </c>
      <c r="B11" s="36">
        <v>45667</v>
      </c>
      <c r="C11" s="35" t="s">
        <v>250</v>
      </c>
      <c r="D11" s="35" t="s">
        <v>52</v>
      </c>
      <c r="E11" s="35">
        <v>36</v>
      </c>
      <c r="F11" s="35" t="s">
        <v>53</v>
      </c>
      <c r="G11" s="35" t="s">
        <v>4</v>
      </c>
      <c r="H11" s="35">
        <v>76000</v>
      </c>
      <c r="I11" s="35"/>
      <c r="J11" s="35">
        <v>8200</v>
      </c>
      <c r="K11" s="35" t="s">
        <v>23</v>
      </c>
      <c r="L11" s="35">
        <v>14000</v>
      </c>
      <c r="M11" s="35">
        <v>7000</v>
      </c>
      <c r="N11" s="35">
        <v>745</v>
      </c>
      <c r="O11" s="35" t="s">
        <v>18</v>
      </c>
      <c r="P11" s="11" t="str">
        <f>IF(COUNTBLANK(#REF!)=0,#REF!,"Unknown")</f>
        <v>Kochi</v>
      </c>
      <c r="Q11" s="11" t="str">
        <f>IF(COUNTBLANK(#REF!)=0,#REF!,"Unknown")</f>
        <v>Salary</v>
      </c>
      <c r="R11" s="11" t="str">
        <f>IF(COUNTBLANK(#REF!)=0,#REF!,"Unknown")</f>
        <v>Unknown</v>
      </c>
      <c r="S11" s="11">
        <f>IF(COUNTBLANK(#REF!)=0,#REF!,0)</f>
        <v>7000</v>
      </c>
      <c r="T11" s="11" t="str">
        <f t="shared" si="0"/>
        <v>Card</v>
      </c>
    </row>
    <row r="12" spans="1:20" x14ac:dyDescent="0.25">
      <c r="A12" s="35" t="s">
        <v>55</v>
      </c>
      <c r="B12" s="36">
        <v>45668</v>
      </c>
      <c r="C12" s="35" t="s">
        <v>251</v>
      </c>
      <c r="D12" s="35" t="s">
        <v>56</v>
      </c>
      <c r="E12" s="35">
        <v>30</v>
      </c>
      <c r="F12" s="35" t="s">
        <v>57</v>
      </c>
      <c r="G12" s="35" t="s">
        <v>22</v>
      </c>
      <c r="H12" s="35">
        <v>68000</v>
      </c>
      <c r="I12" s="35" t="s">
        <v>58</v>
      </c>
      <c r="J12" s="35">
        <v>9200</v>
      </c>
      <c r="K12" s="35" t="s">
        <v>1</v>
      </c>
      <c r="L12" s="35">
        <v>11000</v>
      </c>
      <c r="M12" s="35">
        <v>3000</v>
      </c>
      <c r="N12" s="35">
        <v>732</v>
      </c>
      <c r="O12" s="35" t="s">
        <v>24</v>
      </c>
      <c r="P12" s="11" t="str">
        <f>IF(COUNTBLANK(#REF!)=0,#REF!,"Unknown")</f>
        <v>Jaipur</v>
      </c>
      <c r="Q12" s="11" t="str">
        <f>IF(COUNTBLANK(#REF!)=0,#REF!,"Unknown")</f>
        <v>Freelancing</v>
      </c>
      <c r="R12" s="11" t="str">
        <f>IF(COUNTBLANK(#REF!)=0,#REF!,"Unknown")</f>
        <v>Shopping</v>
      </c>
      <c r="S12" s="11">
        <f>IF(COUNTBLANK(#REF!)=0,#REF!,0)</f>
        <v>3000</v>
      </c>
      <c r="T12" s="11" t="str">
        <f t="shared" si="0"/>
        <v>UPI</v>
      </c>
    </row>
    <row r="13" spans="1:20" x14ac:dyDescent="0.25">
      <c r="A13" s="35" t="s">
        <v>59</v>
      </c>
      <c r="B13" s="36">
        <v>45669</v>
      </c>
      <c r="C13" s="35" t="s">
        <v>252</v>
      </c>
      <c r="D13" s="35" t="s">
        <v>60</v>
      </c>
      <c r="E13" s="35">
        <v>45</v>
      </c>
      <c r="F13" s="35" t="s">
        <v>17</v>
      </c>
      <c r="G13" s="35" t="s">
        <v>32</v>
      </c>
      <c r="H13" s="35">
        <v>150000</v>
      </c>
      <c r="I13" s="35" t="s">
        <v>9</v>
      </c>
      <c r="J13" s="35">
        <v>35000</v>
      </c>
      <c r="K13" s="35" t="s">
        <v>33</v>
      </c>
      <c r="L13" s="35">
        <v>40000</v>
      </c>
      <c r="M13" s="35">
        <v>20000</v>
      </c>
      <c r="N13" s="35">
        <v>810</v>
      </c>
      <c r="O13" s="35" t="s">
        <v>34</v>
      </c>
      <c r="P13" s="11" t="str">
        <f>IF(COUNTBLANK(#REF!)=0,#REF!,"Unknown")</f>
        <v>Kolkata</v>
      </c>
      <c r="Q13" s="11" t="str">
        <f>IF(COUNTBLANK(#REF!)=0,#REF!,"Unknown")</f>
        <v>Business</v>
      </c>
      <c r="R13" s="11" t="str">
        <f>IF(COUNTBLANK(#REF!)=0,#REF!,"Unknown")</f>
        <v>Investment</v>
      </c>
      <c r="S13" s="11">
        <f>IF(COUNTBLANK(#REF!)=0,#REF!,0)</f>
        <v>20000</v>
      </c>
      <c r="T13" s="11" t="str">
        <f t="shared" si="0"/>
        <v>NetBanking</v>
      </c>
    </row>
    <row r="14" spans="1:20" x14ac:dyDescent="0.25">
      <c r="A14" s="35" t="s">
        <v>61</v>
      </c>
      <c r="B14" s="36">
        <v>45670</v>
      </c>
      <c r="C14" s="35" t="s">
        <v>253</v>
      </c>
      <c r="D14" s="35" t="s">
        <v>62</v>
      </c>
      <c r="E14" s="35">
        <v>28</v>
      </c>
      <c r="F14" s="35" t="s">
        <v>27</v>
      </c>
      <c r="G14" s="35"/>
      <c r="H14" s="35">
        <v>59000</v>
      </c>
      <c r="I14" s="35" t="s">
        <v>63</v>
      </c>
      <c r="J14" s="35">
        <v>5800</v>
      </c>
      <c r="K14" s="35"/>
      <c r="L14" s="35">
        <v>9000</v>
      </c>
      <c r="M14" s="35">
        <v>2500</v>
      </c>
      <c r="N14" s="35">
        <v>704</v>
      </c>
      <c r="O14" s="35" t="s">
        <v>18</v>
      </c>
      <c r="P14" s="11" t="str">
        <f>IF(COUNTBLANK(#REF!)=0,#REF!,"Unknown")</f>
        <v>Delhi</v>
      </c>
      <c r="Q14" s="11" t="str">
        <f>IF(COUNTBLANK(#REF!)=0,#REF!,"Unknown")</f>
        <v>Unknown</v>
      </c>
      <c r="R14" s="11" t="str">
        <f>IF(COUNTBLANK(#REF!)=0,#REF!,"Unknown")</f>
        <v>Food</v>
      </c>
      <c r="S14" s="11">
        <f>IF(COUNTBLANK(#REF!)=0,#REF!,0)</f>
        <v>2500</v>
      </c>
      <c r="T14" s="11" t="str">
        <f t="shared" si="0"/>
        <v>Cash/UPI</v>
      </c>
    </row>
    <row r="15" spans="1:20" x14ac:dyDescent="0.25">
      <c r="A15" s="35" t="s">
        <v>64</v>
      </c>
      <c r="B15" s="36">
        <v>45671</v>
      </c>
      <c r="C15" s="35" t="s">
        <v>15</v>
      </c>
      <c r="D15" s="35" t="s">
        <v>65</v>
      </c>
      <c r="E15" s="35">
        <v>33</v>
      </c>
      <c r="F15" s="35"/>
      <c r="G15" s="35" t="s">
        <v>4</v>
      </c>
      <c r="H15" s="35">
        <v>71000</v>
      </c>
      <c r="I15" s="35" t="s">
        <v>5</v>
      </c>
      <c r="J15" s="35">
        <v>21000</v>
      </c>
      <c r="K15" s="35" t="s">
        <v>1</v>
      </c>
      <c r="L15" s="35">
        <v>13000</v>
      </c>
      <c r="M15" s="35">
        <v>6000</v>
      </c>
      <c r="N15" s="35">
        <v>740</v>
      </c>
      <c r="O15" s="35" t="s">
        <v>24</v>
      </c>
      <c r="P15" s="11" t="str">
        <f>IF(COUNTBLANK(#REF!)=0,#REF!,"Unknown")</f>
        <v>Unknown</v>
      </c>
      <c r="Q15" s="11" t="str">
        <f>IF(COUNTBLANK(#REF!)=0,#REF!,"Unknown")</f>
        <v>Salary</v>
      </c>
      <c r="R15" s="11" t="str">
        <f>IF(COUNTBLANK(#REF!)=0,#REF!,"Unknown")</f>
        <v>Rent</v>
      </c>
      <c r="S15" s="11">
        <f>IF(COUNTBLANK(#REF!)=0,#REF!,0)</f>
        <v>6000</v>
      </c>
      <c r="T15" s="11" t="str">
        <f t="shared" si="0"/>
        <v>UPI</v>
      </c>
    </row>
    <row r="16" spans="1:20" x14ac:dyDescent="0.25">
      <c r="A16" s="35" t="s">
        <v>66</v>
      </c>
      <c r="B16" s="36">
        <v>45672</v>
      </c>
      <c r="C16" s="35" t="s">
        <v>105</v>
      </c>
      <c r="D16" s="35" t="s">
        <v>67</v>
      </c>
      <c r="E16" s="35">
        <v>25</v>
      </c>
      <c r="F16" s="35" t="s">
        <v>41</v>
      </c>
      <c r="G16" s="35" t="s">
        <v>22</v>
      </c>
      <c r="H16" s="35">
        <v>47000</v>
      </c>
      <c r="I16" s="35" t="s">
        <v>8</v>
      </c>
      <c r="J16" s="35">
        <v>4200</v>
      </c>
      <c r="K16" s="35" t="s">
        <v>23</v>
      </c>
      <c r="L16" s="35">
        <v>7000</v>
      </c>
      <c r="M16" s="35"/>
      <c r="N16" s="35">
        <v>681</v>
      </c>
      <c r="O16" s="35" t="s">
        <v>28</v>
      </c>
      <c r="P16" s="11" t="str">
        <f>IF(COUNTBLANK(#REF!)=0,#REF!,"Unknown")</f>
        <v>Pune</v>
      </c>
      <c r="Q16" s="11" t="str">
        <f>IF(COUNTBLANK(#REF!)=0,#REF!,"Unknown")</f>
        <v>Freelancing</v>
      </c>
      <c r="R16" s="11" t="str">
        <f>IF(COUNTBLANK(#REF!)=0,#REF!,"Unknown")</f>
        <v>Entertainment</v>
      </c>
      <c r="S16" s="11">
        <f>IF(COUNTBLANK(#REF!)=0,#REF!,0)</f>
        <v>0</v>
      </c>
      <c r="T16" s="11" t="str">
        <f t="shared" si="0"/>
        <v>Card</v>
      </c>
    </row>
    <row r="17" spans="1:20" x14ac:dyDescent="0.25">
      <c r="A17" s="35" t="s">
        <v>68</v>
      </c>
      <c r="B17" s="36">
        <v>45673</v>
      </c>
      <c r="C17" s="35" t="s">
        <v>163</v>
      </c>
      <c r="D17" s="35" t="s">
        <v>69</v>
      </c>
      <c r="E17" s="35">
        <v>39</v>
      </c>
      <c r="F17" s="35" t="s">
        <v>31</v>
      </c>
      <c r="G17" s="35" t="s">
        <v>32</v>
      </c>
      <c r="H17" s="35">
        <v>132000</v>
      </c>
      <c r="I17" s="35" t="s">
        <v>42</v>
      </c>
      <c r="J17" s="35">
        <v>6800</v>
      </c>
      <c r="K17" s="35" t="s">
        <v>33</v>
      </c>
      <c r="L17" s="35">
        <v>30000</v>
      </c>
      <c r="M17" s="35">
        <v>15000</v>
      </c>
      <c r="N17" s="35">
        <v>790</v>
      </c>
      <c r="O17" s="35" t="s">
        <v>34</v>
      </c>
      <c r="P17" s="11" t="str">
        <f>IF(COUNTBLANK(#REF!)=0,#REF!,"Unknown")</f>
        <v>Bangalore</v>
      </c>
      <c r="Q17" s="11" t="str">
        <f>IF(COUNTBLANK(#REF!)=0,#REF!,"Unknown")</f>
        <v>Business</v>
      </c>
      <c r="R17" s="11" t="str">
        <f>IF(COUNTBLANK(#REF!)=0,#REF!,"Unknown")</f>
        <v>Healthcare</v>
      </c>
      <c r="S17" s="11">
        <f>IF(COUNTBLANK(#REF!)=0,#REF!,0)</f>
        <v>15000</v>
      </c>
      <c r="T17" s="11" t="str">
        <f t="shared" si="0"/>
        <v>NetBanking</v>
      </c>
    </row>
    <row r="18" spans="1:20" x14ac:dyDescent="0.25">
      <c r="A18" s="35" t="s">
        <v>70</v>
      </c>
      <c r="B18" s="36">
        <v>45674</v>
      </c>
      <c r="C18" s="35" t="s">
        <v>222</v>
      </c>
      <c r="D18" s="35" t="s">
        <v>71</v>
      </c>
      <c r="E18" s="35">
        <v>29</v>
      </c>
      <c r="F18" s="35" t="s">
        <v>27</v>
      </c>
      <c r="G18" s="35" t="s">
        <v>4</v>
      </c>
      <c r="H18" s="35">
        <v>62000</v>
      </c>
      <c r="I18" s="35" t="s">
        <v>2</v>
      </c>
      <c r="J18" s="35">
        <v>5900</v>
      </c>
      <c r="K18" s="35" t="s">
        <v>1</v>
      </c>
      <c r="L18" s="35">
        <v>12000</v>
      </c>
      <c r="M18" s="35">
        <v>3000</v>
      </c>
      <c r="N18" s="35">
        <v>725</v>
      </c>
      <c r="O18" s="35" t="s">
        <v>24</v>
      </c>
      <c r="P18" s="11" t="str">
        <f>IF(COUNTBLANK(#REF!)=0,#REF!,"Unknown")</f>
        <v>Delhi</v>
      </c>
      <c r="Q18" s="11" t="str">
        <f>IF(COUNTBLANK(#REF!)=0,#REF!,"Unknown")</f>
        <v>Salary</v>
      </c>
      <c r="R18" s="11" t="str">
        <f>IF(COUNTBLANK(#REF!)=0,#REF!,"Unknown")</f>
        <v>Groceries</v>
      </c>
      <c r="S18" s="11">
        <f>IF(COUNTBLANK(#REF!)=0,#REF!,0)</f>
        <v>3000</v>
      </c>
      <c r="T18" s="11" t="str">
        <f t="shared" si="0"/>
        <v>UPI</v>
      </c>
    </row>
    <row r="19" spans="1:20" x14ac:dyDescent="0.25">
      <c r="A19" s="35" t="s">
        <v>72</v>
      </c>
      <c r="B19" s="36">
        <v>45675</v>
      </c>
      <c r="C19" s="35" t="s">
        <v>246</v>
      </c>
      <c r="D19" s="35" t="s">
        <v>73</v>
      </c>
      <c r="E19" s="35">
        <v>35</v>
      </c>
      <c r="F19" s="35" t="s">
        <v>21</v>
      </c>
      <c r="G19" s="35" t="s">
        <v>4</v>
      </c>
      <c r="H19" s="35">
        <v>81000</v>
      </c>
      <c r="I19" s="35" t="s">
        <v>6</v>
      </c>
      <c r="J19" s="35">
        <v>4100</v>
      </c>
      <c r="K19" s="35" t="s">
        <v>0</v>
      </c>
      <c r="L19" s="35">
        <v>16000</v>
      </c>
      <c r="M19" s="35">
        <v>9000</v>
      </c>
      <c r="N19" s="35">
        <v>710</v>
      </c>
      <c r="O19" s="35" t="s">
        <v>18</v>
      </c>
      <c r="P19" s="11" t="str">
        <f>IF(COUNTBLANK(#REF!)=0,#REF!,"Unknown")</f>
        <v>Mumbai</v>
      </c>
      <c r="Q19" s="11" t="str">
        <f>IF(COUNTBLANK(#REF!)=0,#REF!,"Unknown")</f>
        <v>Salary</v>
      </c>
      <c r="R19" s="11" t="str">
        <f>IF(COUNTBLANK(#REF!)=0,#REF!,"Unknown")</f>
        <v>Transport</v>
      </c>
      <c r="S19" s="11">
        <f>IF(COUNTBLANK(#REF!)=0,#REF!,0)</f>
        <v>9000</v>
      </c>
      <c r="T19" s="11" t="str">
        <f t="shared" si="0"/>
        <v>Cash</v>
      </c>
    </row>
    <row r="20" spans="1:20" x14ac:dyDescent="0.25">
      <c r="A20" s="35" t="s">
        <v>74</v>
      </c>
      <c r="B20" s="36">
        <v>45676</v>
      </c>
      <c r="C20" s="35" t="s">
        <v>247</v>
      </c>
      <c r="D20" s="35" t="s">
        <v>75</v>
      </c>
      <c r="E20" s="35">
        <v>27</v>
      </c>
      <c r="F20" s="35" t="s">
        <v>76</v>
      </c>
      <c r="G20" s="35" t="s">
        <v>22</v>
      </c>
      <c r="H20" s="35">
        <v>56000</v>
      </c>
      <c r="I20" s="35"/>
      <c r="J20" s="35">
        <v>9700</v>
      </c>
      <c r="K20" s="35" t="s">
        <v>23</v>
      </c>
      <c r="L20" s="35">
        <v>8500</v>
      </c>
      <c r="M20" s="35"/>
      <c r="N20" s="35">
        <v>699</v>
      </c>
      <c r="O20" s="35" t="s">
        <v>28</v>
      </c>
      <c r="P20" s="11" t="str">
        <f>IF(COUNTBLANK(#REF!)=0,#REF!,"Unknown")</f>
        <v>Chandigarh</v>
      </c>
      <c r="Q20" s="11" t="str">
        <f>IF(COUNTBLANK(#REF!)=0,#REF!,"Unknown")</f>
        <v>Freelancing</v>
      </c>
      <c r="R20" s="11" t="str">
        <f>IF(COUNTBLANK(#REF!)=0,#REF!,"Unknown")</f>
        <v>Unknown</v>
      </c>
      <c r="S20" s="11">
        <f>IF(COUNTBLANK(#REF!)=0,#REF!,0)</f>
        <v>0</v>
      </c>
      <c r="T20" s="11" t="str">
        <f t="shared" si="0"/>
        <v>Card</v>
      </c>
    </row>
    <row r="21" spans="1:20" x14ac:dyDescent="0.25">
      <c r="A21" s="35" t="s">
        <v>77</v>
      </c>
      <c r="B21" s="36">
        <v>45677</v>
      </c>
      <c r="C21" s="35" t="s">
        <v>248</v>
      </c>
      <c r="D21" s="35" t="s">
        <v>78</v>
      </c>
      <c r="E21" s="35">
        <v>41</v>
      </c>
      <c r="F21" s="35" t="s">
        <v>27</v>
      </c>
      <c r="G21" s="35" t="s">
        <v>32</v>
      </c>
      <c r="H21" s="35">
        <v>145000</v>
      </c>
      <c r="I21" s="35" t="s">
        <v>7</v>
      </c>
      <c r="J21" s="35">
        <v>7800</v>
      </c>
      <c r="K21" s="35" t="s">
        <v>46</v>
      </c>
      <c r="L21" s="35">
        <v>42000</v>
      </c>
      <c r="M21" s="35">
        <v>25000</v>
      </c>
      <c r="N21" s="35">
        <v>805</v>
      </c>
      <c r="O21" s="35" t="s">
        <v>34</v>
      </c>
      <c r="P21" s="11" t="str">
        <f>IF(COUNTBLANK(#REF!)=0,#REF!,"Unknown")</f>
        <v>Delhi</v>
      </c>
      <c r="Q21" s="11" t="str">
        <f>IF(COUNTBLANK(#REF!)=0,#REF!,"Unknown")</f>
        <v>Business</v>
      </c>
      <c r="R21" s="11" t="str">
        <f>IF(COUNTBLANK(#REF!)=0,#REF!,"Unknown")</f>
        <v>Utilities</v>
      </c>
      <c r="S21" s="11">
        <f>IF(COUNTBLANK(#REF!)=0,#REF!,0)</f>
        <v>25000</v>
      </c>
      <c r="T21" s="11" t="str">
        <f t="shared" si="0"/>
        <v>Cheque</v>
      </c>
    </row>
    <row r="22" spans="1:20" x14ac:dyDescent="0.25">
      <c r="A22" s="35" t="s">
        <v>79</v>
      </c>
      <c r="B22" s="36">
        <v>45678</v>
      </c>
      <c r="C22" s="35" t="s">
        <v>249</v>
      </c>
      <c r="D22" s="35" t="s">
        <v>80</v>
      </c>
      <c r="E22" s="35">
        <v>32</v>
      </c>
      <c r="F22" s="35" t="s">
        <v>81</v>
      </c>
      <c r="G22" s="35" t="s">
        <v>4</v>
      </c>
      <c r="H22" s="35">
        <v>69000</v>
      </c>
      <c r="I22" s="35" t="s">
        <v>63</v>
      </c>
      <c r="J22" s="35">
        <v>6300</v>
      </c>
      <c r="K22" s="35" t="s">
        <v>1</v>
      </c>
      <c r="L22" s="35">
        <v>10000</v>
      </c>
      <c r="M22" s="35">
        <v>4500</v>
      </c>
      <c r="N22" s="35">
        <v>730</v>
      </c>
      <c r="O22" s="35" t="s">
        <v>24</v>
      </c>
      <c r="P22" s="11" t="str">
        <f>IF(COUNTBLANK(#REF!)=0,#REF!,"Unknown")</f>
        <v>Ahmedabad</v>
      </c>
      <c r="Q22" s="11" t="str">
        <f>IF(COUNTBLANK(#REF!)=0,#REF!,"Unknown")</f>
        <v>Salary</v>
      </c>
      <c r="R22" s="11" t="str">
        <f>IF(COUNTBLANK(#REF!)=0,#REF!,"Unknown")</f>
        <v>Food</v>
      </c>
      <c r="S22" s="11">
        <f>IF(COUNTBLANK(#REF!)=0,#REF!,0)</f>
        <v>4500</v>
      </c>
      <c r="T22" s="11" t="str">
        <f t="shared" si="0"/>
        <v>UPI</v>
      </c>
    </row>
    <row r="23" spans="1:20" x14ac:dyDescent="0.25">
      <c r="A23" s="35" t="s">
        <v>82</v>
      </c>
      <c r="B23" s="36">
        <v>45679</v>
      </c>
      <c r="C23" s="35" t="s">
        <v>250</v>
      </c>
      <c r="D23" s="35" t="s">
        <v>83</v>
      </c>
      <c r="E23" s="35">
        <v>37</v>
      </c>
      <c r="F23" s="35" t="s">
        <v>84</v>
      </c>
      <c r="G23" s="35" t="s">
        <v>4</v>
      </c>
      <c r="H23" s="35">
        <v>57000</v>
      </c>
      <c r="I23" s="35" t="s">
        <v>5</v>
      </c>
      <c r="J23" s="35">
        <v>16000</v>
      </c>
      <c r="K23" s="35" t="s">
        <v>0</v>
      </c>
      <c r="L23" s="35">
        <v>6000</v>
      </c>
      <c r="M23" s="35">
        <v>5500</v>
      </c>
      <c r="N23" s="35">
        <v>670</v>
      </c>
      <c r="O23" s="35" t="s">
        <v>38</v>
      </c>
      <c r="P23" s="11" t="str">
        <f>IF(COUNTBLANK(#REF!)=0,#REF!,"Unknown")</f>
        <v>Patna</v>
      </c>
      <c r="Q23" s="11" t="str">
        <f>IF(COUNTBLANK(#REF!)=0,#REF!,"Unknown")</f>
        <v>Salary</v>
      </c>
      <c r="R23" s="11" t="str">
        <f>IF(COUNTBLANK(#REF!)=0,#REF!,"Unknown")</f>
        <v>Rent</v>
      </c>
      <c r="S23" s="11">
        <f>IF(COUNTBLANK(#REF!)=0,#REF!,0)</f>
        <v>5500</v>
      </c>
      <c r="T23" s="11" t="str">
        <f t="shared" si="0"/>
        <v>Cash</v>
      </c>
    </row>
    <row r="24" spans="1:20" x14ac:dyDescent="0.25">
      <c r="A24" s="35" t="s">
        <v>85</v>
      </c>
      <c r="B24" s="36">
        <v>45680</v>
      </c>
      <c r="C24" s="35" t="s">
        <v>251</v>
      </c>
      <c r="D24" s="35" t="s">
        <v>86</v>
      </c>
      <c r="E24" s="35">
        <v>26</v>
      </c>
      <c r="F24" s="35" t="s">
        <v>87</v>
      </c>
      <c r="G24" s="35" t="s">
        <v>22</v>
      </c>
      <c r="H24" s="35">
        <v>52000</v>
      </c>
      <c r="I24" s="35" t="s">
        <v>58</v>
      </c>
      <c r="J24" s="35">
        <v>7600</v>
      </c>
      <c r="K24" s="35" t="s">
        <v>23</v>
      </c>
      <c r="L24" s="35">
        <v>9000</v>
      </c>
      <c r="M24" s="35"/>
      <c r="N24" s="35">
        <v>715</v>
      </c>
      <c r="O24" s="35" t="s">
        <v>18</v>
      </c>
      <c r="P24" s="11" t="str">
        <f>IF(COUNTBLANK(#REF!)=0,#REF!,"Unknown")</f>
        <v>Surat</v>
      </c>
      <c r="Q24" s="11" t="str">
        <f>IF(COUNTBLANK(#REF!)=0,#REF!,"Unknown")</f>
        <v>Freelancing</v>
      </c>
      <c r="R24" s="11" t="str">
        <f>IF(COUNTBLANK(#REF!)=0,#REF!,"Unknown")</f>
        <v>Shopping</v>
      </c>
      <c r="S24" s="11">
        <f>IF(COUNTBLANK(#REF!)=0,#REF!,0)</f>
        <v>0</v>
      </c>
      <c r="T24" s="11" t="str">
        <f t="shared" si="0"/>
        <v>Card</v>
      </c>
    </row>
    <row r="25" spans="1:20" x14ac:dyDescent="0.25">
      <c r="A25" s="35" t="s">
        <v>88</v>
      </c>
      <c r="B25" s="36">
        <v>45681</v>
      </c>
      <c r="C25" s="35" t="s">
        <v>252</v>
      </c>
      <c r="D25" s="35" t="s">
        <v>89</v>
      </c>
      <c r="E25" s="35">
        <v>40</v>
      </c>
      <c r="F25" s="35"/>
      <c r="G25" s="35"/>
      <c r="H25" s="35">
        <v>125000</v>
      </c>
      <c r="I25" s="35" t="s">
        <v>9</v>
      </c>
      <c r="J25" s="35">
        <v>28000</v>
      </c>
      <c r="K25" s="35" t="s">
        <v>33</v>
      </c>
      <c r="L25" s="35">
        <v>37000</v>
      </c>
      <c r="M25" s="35">
        <v>12000</v>
      </c>
      <c r="N25" s="35">
        <v>798</v>
      </c>
      <c r="O25" s="35" t="s">
        <v>34</v>
      </c>
      <c r="P25" s="11" t="str">
        <f>IF(COUNTBLANK(#REF!)=0,#REF!,"Unknown")</f>
        <v>Unknown</v>
      </c>
      <c r="Q25" s="11" t="str">
        <f>IF(COUNTBLANK(#REF!)=0,#REF!,"Unknown")</f>
        <v>Unknown</v>
      </c>
      <c r="R25" s="11" t="str">
        <f>IF(COUNTBLANK(#REF!)=0,#REF!,"Unknown")</f>
        <v>Investment</v>
      </c>
      <c r="S25" s="11">
        <f>IF(COUNTBLANK(#REF!)=0,#REF!,0)</f>
        <v>12000</v>
      </c>
      <c r="T25" s="11" t="str">
        <f t="shared" si="0"/>
        <v>NetBanking</v>
      </c>
    </row>
    <row r="26" spans="1:20" x14ac:dyDescent="0.25">
      <c r="A26" s="35" t="s">
        <v>90</v>
      </c>
      <c r="B26" s="36">
        <v>45682</v>
      </c>
      <c r="C26" s="35" t="s">
        <v>253</v>
      </c>
      <c r="D26" s="35" t="s">
        <v>91</v>
      </c>
      <c r="E26" s="35">
        <v>31</v>
      </c>
      <c r="F26" s="35" t="s">
        <v>17</v>
      </c>
      <c r="G26" s="35" t="s">
        <v>4</v>
      </c>
      <c r="H26" s="35">
        <v>74000</v>
      </c>
      <c r="I26" s="35" t="s">
        <v>50</v>
      </c>
      <c r="J26" s="35">
        <v>5300</v>
      </c>
      <c r="K26" s="35" t="s">
        <v>1</v>
      </c>
      <c r="L26" s="35">
        <v>15000</v>
      </c>
      <c r="M26" s="35">
        <v>5000</v>
      </c>
      <c r="N26" s="35">
        <v>750</v>
      </c>
      <c r="O26" s="35" t="s">
        <v>24</v>
      </c>
      <c r="P26" s="11" t="str">
        <f>IF(COUNTBLANK(#REF!)=0,#REF!,"Unknown")</f>
        <v>Kolkata</v>
      </c>
      <c r="Q26" s="11" t="str">
        <f>IF(COUNTBLANK(#REF!)=0,#REF!,"Unknown")</f>
        <v>Salary</v>
      </c>
      <c r="R26" s="11" t="str">
        <f>IF(COUNTBLANK(#REF!)=0,#REF!,"Unknown")</f>
        <v>Education</v>
      </c>
      <c r="S26" s="11">
        <f>IF(COUNTBLANK(#REF!)=0,#REF!,0)</f>
        <v>5000</v>
      </c>
      <c r="T26" s="11" t="str">
        <f t="shared" si="0"/>
        <v>UPI</v>
      </c>
    </row>
    <row r="27" spans="1:20" x14ac:dyDescent="0.25">
      <c r="A27" s="35" t="s">
        <v>92</v>
      </c>
      <c r="B27" s="36">
        <v>45683</v>
      </c>
      <c r="C27" s="35" t="s">
        <v>15</v>
      </c>
      <c r="D27" s="35" t="s">
        <v>93</v>
      </c>
      <c r="E27" s="35">
        <v>28</v>
      </c>
      <c r="F27" s="35" t="s">
        <v>27</v>
      </c>
      <c r="G27" s="35" t="s">
        <v>4</v>
      </c>
      <c r="H27" s="35">
        <v>63000</v>
      </c>
      <c r="I27" s="35"/>
      <c r="J27" s="35">
        <v>8600</v>
      </c>
      <c r="K27" s="35" t="s">
        <v>23</v>
      </c>
      <c r="L27" s="35">
        <v>11000</v>
      </c>
      <c r="M27" s="35">
        <v>3500</v>
      </c>
      <c r="N27" s="35">
        <v>721</v>
      </c>
      <c r="O27" s="35" t="s">
        <v>18</v>
      </c>
      <c r="P27" s="11" t="str">
        <f>IF(COUNTBLANK(#REF!)=0,#REF!,"Unknown")</f>
        <v>Delhi</v>
      </c>
      <c r="Q27" s="11" t="str">
        <f>IF(COUNTBLANK(#REF!)=0,#REF!,"Unknown")</f>
        <v>Salary</v>
      </c>
      <c r="R27" s="11" t="str">
        <f>IF(COUNTBLANK(#REF!)=0,#REF!,"Unknown")</f>
        <v>Unknown</v>
      </c>
      <c r="S27" s="11">
        <f>IF(COUNTBLANK(#REF!)=0,#REF!,0)</f>
        <v>3500</v>
      </c>
      <c r="T27" s="11" t="str">
        <f t="shared" si="0"/>
        <v>Card</v>
      </c>
    </row>
    <row r="28" spans="1:20" x14ac:dyDescent="0.25">
      <c r="A28" s="35" t="s">
        <v>191</v>
      </c>
      <c r="B28" s="36">
        <v>45733</v>
      </c>
      <c r="C28" s="35" t="s">
        <v>105</v>
      </c>
      <c r="D28" s="35" t="s">
        <v>192</v>
      </c>
      <c r="E28" s="35">
        <v>36</v>
      </c>
      <c r="F28" s="35" t="s">
        <v>17</v>
      </c>
      <c r="G28" s="35" t="s">
        <v>4</v>
      </c>
      <c r="H28" s="35">
        <v>81000</v>
      </c>
      <c r="I28" s="35" t="s">
        <v>54</v>
      </c>
      <c r="J28" s="35">
        <v>9400</v>
      </c>
      <c r="K28" s="35" t="s">
        <v>1</v>
      </c>
      <c r="L28" s="35">
        <v>17000</v>
      </c>
      <c r="M28" s="35">
        <v>8500</v>
      </c>
      <c r="N28" s="35">
        <v>743</v>
      </c>
      <c r="O28" s="35" t="s">
        <v>24</v>
      </c>
      <c r="P28" s="11" t="str">
        <f>IF(COUNTBLANK(#REF!)=0,#REF!,"Unknown")</f>
        <v>Kolkata</v>
      </c>
      <c r="Q28" s="11" t="str">
        <f>IF(COUNTBLANK(#REF!)=0,#REF!,"Unknown")</f>
        <v>Salary</v>
      </c>
      <c r="R28" s="11" t="str">
        <f>IF(COUNTBLANK(#REF!)=0,#REF!,"Unknown")</f>
        <v>Travel</v>
      </c>
      <c r="S28" s="11">
        <f>IF(COUNTBLANK(#REF!)=0,#REF!,0)</f>
        <v>8500</v>
      </c>
      <c r="T28" s="11" t="str">
        <f t="shared" si="0"/>
        <v>UPI</v>
      </c>
    </row>
    <row r="29" spans="1:20" x14ac:dyDescent="0.25">
      <c r="A29" s="35" t="s">
        <v>193</v>
      </c>
      <c r="B29" s="36">
        <v>45734</v>
      </c>
      <c r="C29" s="35" t="s">
        <v>163</v>
      </c>
      <c r="D29" s="35" t="s">
        <v>194</v>
      </c>
      <c r="E29" s="35">
        <v>27</v>
      </c>
      <c r="F29" s="35" t="s">
        <v>41</v>
      </c>
      <c r="G29" s="35" t="s">
        <v>22</v>
      </c>
      <c r="H29" s="35">
        <v>55000</v>
      </c>
      <c r="I29" s="35" t="s">
        <v>63</v>
      </c>
      <c r="J29" s="35">
        <v>5200</v>
      </c>
      <c r="K29" s="35" t="s">
        <v>23</v>
      </c>
      <c r="L29" s="35">
        <v>8000</v>
      </c>
      <c r="M29" s="35"/>
      <c r="N29" s="35">
        <v>701</v>
      </c>
      <c r="O29" s="35" t="s">
        <v>18</v>
      </c>
      <c r="P29" s="11" t="str">
        <f>IF(COUNTBLANK(#REF!)=0,#REF!,"Unknown")</f>
        <v>Pune</v>
      </c>
      <c r="Q29" s="11" t="str">
        <f>IF(COUNTBLANK(#REF!)=0,#REF!,"Unknown")</f>
        <v>Freelancing</v>
      </c>
      <c r="R29" s="11" t="str">
        <f>IF(COUNTBLANK(#REF!)=0,#REF!,"Unknown")</f>
        <v>Food</v>
      </c>
      <c r="S29" s="11">
        <f>IF(COUNTBLANK(#REF!)=0,#REF!,0)</f>
        <v>0</v>
      </c>
      <c r="T29" s="11" t="str">
        <f t="shared" si="0"/>
        <v>Card</v>
      </c>
    </row>
    <row r="30" spans="1:20" x14ac:dyDescent="0.25">
      <c r="A30" s="35" t="s">
        <v>195</v>
      </c>
      <c r="B30" s="36">
        <v>45735</v>
      </c>
      <c r="C30" s="35" t="s">
        <v>222</v>
      </c>
      <c r="D30" s="35" t="s">
        <v>196</v>
      </c>
      <c r="E30" s="35">
        <v>43</v>
      </c>
      <c r="F30" s="35" t="s">
        <v>27</v>
      </c>
      <c r="G30" s="35" t="s">
        <v>32</v>
      </c>
      <c r="H30" s="35">
        <v>149000</v>
      </c>
      <c r="I30" s="35" t="s">
        <v>9</v>
      </c>
      <c r="J30" s="35">
        <v>41000</v>
      </c>
      <c r="K30" s="35" t="s">
        <v>46</v>
      </c>
      <c r="L30" s="35">
        <v>50000</v>
      </c>
      <c r="M30" s="35">
        <v>23000</v>
      </c>
      <c r="N30" s="35">
        <v>815</v>
      </c>
      <c r="O30" s="35" t="s">
        <v>34</v>
      </c>
      <c r="P30" s="11" t="str">
        <f>IF(COUNTBLANK(#REF!)=0,#REF!,"Unknown")</f>
        <v>Delhi</v>
      </c>
      <c r="Q30" s="11" t="str">
        <f>IF(COUNTBLANK(#REF!)=0,#REF!,"Unknown")</f>
        <v>Business</v>
      </c>
      <c r="R30" s="11" t="str">
        <f>IF(COUNTBLANK(#REF!)=0,#REF!,"Unknown")</f>
        <v>Investment</v>
      </c>
      <c r="S30" s="11">
        <f>IF(COUNTBLANK(#REF!)=0,#REF!,0)</f>
        <v>23000</v>
      </c>
      <c r="T30" s="11" t="str">
        <f t="shared" si="0"/>
        <v>Cheque</v>
      </c>
    </row>
    <row r="31" spans="1:20" x14ac:dyDescent="0.25">
      <c r="A31" s="35" t="s">
        <v>197</v>
      </c>
      <c r="B31" s="36">
        <v>45736</v>
      </c>
      <c r="C31" s="35" t="s">
        <v>246</v>
      </c>
      <c r="D31" s="35" t="s">
        <v>198</v>
      </c>
      <c r="E31" s="35">
        <v>30</v>
      </c>
      <c r="F31" s="35" t="s">
        <v>17</v>
      </c>
      <c r="G31" s="35" t="s">
        <v>4</v>
      </c>
      <c r="H31" s="35">
        <v>72000</v>
      </c>
      <c r="I31" s="35" t="s">
        <v>7</v>
      </c>
      <c r="J31" s="35">
        <v>6300</v>
      </c>
      <c r="K31" s="35" t="s">
        <v>1</v>
      </c>
      <c r="L31" s="35">
        <v>14500</v>
      </c>
      <c r="M31" s="35">
        <v>3500</v>
      </c>
      <c r="N31" s="35">
        <v>735</v>
      </c>
      <c r="O31" s="35" t="s">
        <v>24</v>
      </c>
      <c r="P31" s="11" t="str">
        <f>IF(COUNTBLANK(#REF!)=0,#REF!,"Unknown")</f>
        <v>Kolkata</v>
      </c>
      <c r="Q31" s="11" t="str">
        <f>IF(COUNTBLANK(#REF!)=0,#REF!,"Unknown")</f>
        <v>Salary</v>
      </c>
      <c r="R31" s="11" t="str">
        <f>IF(COUNTBLANK(#REF!)=0,#REF!,"Unknown")</f>
        <v>Utilities</v>
      </c>
      <c r="S31" s="11">
        <f>IF(COUNTBLANK(#REF!)=0,#REF!,0)</f>
        <v>3500</v>
      </c>
      <c r="T31" s="11" t="str">
        <f t="shared" si="0"/>
        <v>UPI</v>
      </c>
    </row>
    <row r="32" spans="1:20" x14ac:dyDescent="0.25">
      <c r="A32" s="35" t="s">
        <v>199</v>
      </c>
      <c r="B32" s="36">
        <v>45737</v>
      </c>
      <c r="C32" s="35" t="s">
        <v>247</v>
      </c>
      <c r="D32" s="35" t="s">
        <v>200</v>
      </c>
      <c r="E32" s="35">
        <v>28</v>
      </c>
      <c r="F32" s="35" t="s">
        <v>27</v>
      </c>
      <c r="G32" s="35" t="s">
        <v>4</v>
      </c>
      <c r="H32" s="35">
        <v>65000</v>
      </c>
      <c r="I32" s="35" t="s">
        <v>6</v>
      </c>
      <c r="J32" s="35">
        <v>4800</v>
      </c>
      <c r="K32" s="35" t="s">
        <v>0</v>
      </c>
      <c r="L32" s="35">
        <v>10000</v>
      </c>
      <c r="M32" s="35">
        <v>4000</v>
      </c>
      <c r="N32" s="35">
        <v>712</v>
      </c>
      <c r="O32" s="35" t="s">
        <v>18</v>
      </c>
      <c r="P32" s="11" t="str">
        <f>IF(COUNTBLANK(#REF!)=0,#REF!,"Unknown")</f>
        <v>Delhi</v>
      </c>
      <c r="Q32" s="11" t="str">
        <f>IF(COUNTBLANK(#REF!)=0,#REF!,"Unknown")</f>
        <v>Salary</v>
      </c>
      <c r="R32" s="11" t="str">
        <f>IF(COUNTBLANK(#REF!)=0,#REF!,"Unknown")</f>
        <v>Transport</v>
      </c>
      <c r="S32" s="11">
        <f>IF(COUNTBLANK(#REF!)=0,#REF!,0)</f>
        <v>4000</v>
      </c>
      <c r="T32" s="11" t="str">
        <f t="shared" si="0"/>
        <v>Cash</v>
      </c>
    </row>
    <row r="33" spans="1:20" x14ac:dyDescent="0.25">
      <c r="A33" s="35" t="s">
        <v>201</v>
      </c>
      <c r="B33" s="36">
        <v>45738</v>
      </c>
      <c r="C33" s="35" t="s">
        <v>248</v>
      </c>
      <c r="D33" s="35" t="s">
        <v>202</v>
      </c>
      <c r="E33" s="35">
        <v>25</v>
      </c>
      <c r="F33" s="35" t="s">
        <v>17</v>
      </c>
      <c r="G33" s="35" t="s">
        <v>22</v>
      </c>
      <c r="H33" s="35">
        <v>50000</v>
      </c>
      <c r="I33" s="35" t="s">
        <v>58</v>
      </c>
      <c r="J33" s="35">
        <v>8100</v>
      </c>
      <c r="K33" s="35" t="s">
        <v>23</v>
      </c>
      <c r="L33" s="35">
        <v>6000</v>
      </c>
      <c r="M33" s="35"/>
      <c r="N33" s="35">
        <v>689</v>
      </c>
      <c r="O33" s="35" t="s">
        <v>28</v>
      </c>
      <c r="P33" s="11" t="str">
        <f>IF(COUNTBLANK(#REF!)=0,#REF!,"Unknown")</f>
        <v>Kolkata</v>
      </c>
      <c r="Q33" s="11" t="str">
        <f>IF(COUNTBLANK(#REF!)=0,#REF!,"Unknown")</f>
        <v>Freelancing</v>
      </c>
      <c r="R33" s="11" t="str">
        <f>IF(COUNTBLANK(#REF!)=0,#REF!,"Unknown")</f>
        <v>Shopping</v>
      </c>
      <c r="S33" s="11">
        <f>IF(COUNTBLANK(#REF!)=0,#REF!,0)</f>
        <v>0</v>
      </c>
      <c r="T33" s="11" t="str">
        <f t="shared" si="0"/>
        <v>Card</v>
      </c>
    </row>
    <row r="34" spans="1:20" x14ac:dyDescent="0.25">
      <c r="A34" s="35" t="s">
        <v>203</v>
      </c>
      <c r="B34" s="36">
        <v>45739</v>
      </c>
      <c r="C34" s="35" t="s">
        <v>249</v>
      </c>
      <c r="D34" s="35" t="s">
        <v>204</v>
      </c>
      <c r="E34" s="35">
        <v>40</v>
      </c>
      <c r="F34" s="35" t="s">
        <v>21</v>
      </c>
      <c r="G34" s="35"/>
      <c r="H34" s="35">
        <v>137000</v>
      </c>
      <c r="I34" s="35" t="s">
        <v>5</v>
      </c>
      <c r="J34" s="35">
        <v>33000</v>
      </c>
      <c r="K34" s="35"/>
      <c r="L34" s="35">
        <v>41000</v>
      </c>
      <c r="M34" s="35">
        <v>17000</v>
      </c>
      <c r="N34" s="35">
        <v>799</v>
      </c>
      <c r="O34" s="35" t="s">
        <v>34</v>
      </c>
      <c r="P34" s="11" t="str">
        <f>IF(COUNTBLANK(#REF!)=0,#REF!,"Unknown")</f>
        <v>Mumbai</v>
      </c>
      <c r="Q34" s="11" t="str">
        <f>IF(COUNTBLANK(#REF!)=0,#REF!,"Unknown")</f>
        <v>Unknown</v>
      </c>
      <c r="R34" s="11" t="str">
        <f>IF(COUNTBLANK(#REF!)=0,#REF!,"Unknown")</f>
        <v>Rent</v>
      </c>
      <c r="S34" s="11">
        <f>IF(COUNTBLANK(#REF!)=0,#REF!,0)</f>
        <v>17000</v>
      </c>
      <c r="T34" s="11" t="str">
        <f t="shared" si="0"/>
        <v>Cash/UPI</v>
      </c>
    </row>
    <row r="35" spans="1:20" x14ac:dyDescent="0.25">
      <c r="A35" s="35" t="s">
        <v>205</v>
      </c>
      <c r="B35" s="36">
        <v>45740</v>
      </c>
      <c r="C35" s="35" t="s">
        <v>250</v>
      </c>
      <c r="D35" s="35" t="s">
        <v>206</v>
      </c>
      <c r="E35" s="35">
        <v>31</v>
      </c>
      <c r="F35" s="35" t="s">
        <v>17</v>
      </c>
      <c r="G35" s="35" t="s">
        <v>4</v>
      </c>
      <c r="H35" s="35">
        <v>70000</v>
      </c>
      <c r="I35" s="35" t="s">
        <v>42</v>
      </c>
      <c r="J35" s="35">
        <v>4600</v>
      </c>
      <c r="K35" s="35" t="s">
        <v>1</v>
      </c>
      <c r="L35" s="35">
        <v>13000</v>
      </c>
      <c r="M35" s="35">
        <v>3000</v>
      </c>
      <c r="N35" s="35">
        <v>732</v>
      </c>
      <c r="O35" s="35" t="s">
        <v>24</v>
      </c>
      <c r="P35" s="11" t="str">
        <f>IF(COUNTBLANK(#REF!)=0,#REF!,"Unknown")</f>
        <v>Kolkata</v>
      </c>
      <c r="Q35" s="11" t="str">
        <f>IF(COUNTBLANK(#REF!)=0,#REF!,"Unknown")</f>
        <v>Salary</v>
      </c>
      <c r="R35" s="11" t="str">
        <f>IF(COUNTBLANK(#REF!)=0,#REF!,"Unknown")</f>
        <v>Healthcare</v>
      </c>
      <c r="S35" s="11">
        <f>IF(COUNTBLANK(#REF!)=0,#REF!,0)</f>
        <v>3000</v>
      </c>
      <c r="T35" s="11" t="str">
        <f t="shared" ref="T35:T66" si="1">IF(COUNTBLANK(K35)=0,K35,"Cash/UPI")</f>
        <v>UPI</v>
      </c>
    </row>
    <row r="36" spans="1:20" x14ac:dyDescent="0.25">
      <c r="A36" s="35" t="s">
        <v>207</v>
      </c>
      <c r="B36" s="36">
        <v>45741</v>
      </c>
      <c r="C36" s="35" t="s">
        <v>251</v>
      </c>
      <c r="D36" s="35" t="s">
        <v>208</v>
      </c>
      <c r="E36" s="35">
        <v>35</v>
      </c>
      <c r="F36" s="35" t="s">
        <v>27</v>
      </c>
      <c r="G36" s="35" t="s">
        <v>4</v>
      </c>
      <c r="H36" s="35">
        <v>83000</v>
      </c>
      <c r="I36" s="35" t="s">
        <v>54</v>
      </c>
      <c r="J36" s="35">
        <v>10200</v>
      </c>
      <c r="K36" s="35" t="s">
        <v>23</v>
      </c>
      <c r="L36" s="35">
        <v>18000</v>
      </c>
      <c r="M36" s="35">
        <v>9500</v>
      </c>
      <c r="N36" s="35">
        <v>747</v>
      </c>
      <c r="O36" s="35" t="s">
        <v>24</v>
      </c>
      <c r="P36" s="11" t="str">
        <f>IF(COUNTBLANK(#REF!)=0,#REF!,"Unknown")</f>
        <v>Delhi</v>
      </c>
      <c r="Q36" s="11" t="str">
        <f>IF(COUNTBLANK(#REF!)=0,#REF!,"Unknown")</f>
        <v>Salary</v>
      </c>
      <c r="R36" s="11" t="str">
        <f>IF(COUNTBLANK(#REF!)=0,#REF!,"Unknown")</f>
        <v>Travel</v>
      </c>
      <c r="S36" s="11">
        <f>IF(COUNTBLANK(#REF!)=0,#REF!,0)</f>
        <v>9500</v>
      </c>
      <c r="T36" s="11" t="str">
        <f t="shared" si="1"/>
        <v>Card</v>
      </c>
    </row>
    <row r="37" spans="1:20" x14ac:dyDescent="0.25">
      <c r="A37" s="35" t="s">
        <v>209</v>
      </c>
      <c r="B37" s="36">
        <v>45742</v>
      </c>
      <c r="C37" s="35" t="s">
        <v>252</v>
      </c>
      <c r="D37" s="35" t="s">
        <v>210</v>
      </c>
      <c r="E37" s="35">
        <v>26</v>
      </c>
      <c r="F37" s="35" t="s">
        <v>41</v>
      </c>
      <c r="G37" s="35" t="s">
        <v>22</v>
      </c>
      <c r="H37" s="35">
        <v>53000</v>
      </c>
      <c r="I37" s="35" t="s">
        <v>8</v>
      </c>
      <c r="J37" s="35">
        <v>4100</v>
      </c>
      <c r="K37" s="35" t="s">
        <v>0</v>
      </c>
      <c r="L37" s="35">
        <v>7000</v>
      </c>
      <c r="M37" s="35"/>
      <c r="N37" s="35">
        <v>694</v>
      </c>
      <c r="O37" s="35" t="s">
        <v>28</v>
      </c>
      <c r="P37" s="11" t="str">
        <f>IF(COUNTBLANK(#REF!)=0,#REF!,"Unknown")</f>
        <v>Pune</v>
      </c>
      <c r="Q37" s="11" t="str">
        <f>IF(COUNTBLANK(#REF!)=0,#REF!,"Unknown")</f>
        <v>Freelancing</v>
      </c>
      <c r="R37" s="11" t="str">
        <f>IF(COUNTBLANK(#REF!)=0,#REF!,"Unknown")</f>
        <v>Entertainment</v>
      </c>
      <c r="S37" s="11">
        <f>IF(COUNTBLANK(#REF!)=0,#REF!,0)</f>
        <v>0</v>
      </c>
      <c r="T37" s="11" t="str">
        <f t="shared" si="1"/>
        <v>Cash</v>
      </c>
    </row>
    <row r="38" spans="1:20" x14ac:dyDescent="0.25">
      <c r="A38" s="35" t="s">
        <v>211</v>
      </c>
      <c r="B38" s="36">
        <v>45743</v>
      </c>
      <c r="C38" s="35" t="s">
        <v>253</v>
      </c>
      <c r="D38" s="35" t="s">
        <v>212</v>
      </c>
      <c r="E38" s="35">
        <v>42</v>
      </c>
      <c r="F38" s="35" t="s">
        <v>81</v>
      </c>
      <c r="G38" s="35" t="s">
        <v>32</v>
      </c>
      <c r="H38" s="35">
        <v>144000</v>
      </c>
      <c r="I38" s="35" t="s">
        <v>9</v>
      </c>
      <c r="J38" s="35">
        <v>37000</v>
      </c>
      <c r="K38" s="35" t="s">
        <v>46</v>
      </c>
      <c r="L38" s="35">
        <v>46000</v>
      </c>
      <c r="M38" s="35">
        <v>21000</v>
      </c>
      <c r="N38" s="35">
        <v>810</v>
      </c>
      <c r="O38" s="35" t="s">
        <v>34</v>
      </c>
      <c r="P38" s="11" t="str">
        <f>IF(COUNTBLANK(#REF!)=0,#REF!,"Unknown")</f>
        <v>Ahmedabad</v>
      </c>
      <c r="Q38" s="11" t="str">
        <f>IF(COUNTBLANK(#REF!)=0,#REF!,"Unknown")</f>
        <v>Business</v>
      </c>
      <c r="R38" s="11" t="str">
        <f>IF(COUNTBLANK(#REF!)=0,#REF!,"Unknown")</f>
        <v>Investment</v>
      </c>
      <c r="S38" s="11">
        <f>IF(COUNTBLANK(#REF!)=0,#REF!,0)</f>
        <v>21000</v>
      </c>
      <c r="T38" s="11" t="str">
        <f t="shared" si="1"/>
        <v>Cheque</v>
      </c>
    </row>
    <row r="39" spans="1:20" x14ac:dyDescent="0.25">
      <c r="A39" s="35" t="s">
        <v>213</v>
      </c>
      <c r="B39" s="36">
        <v>45744</v>
      </c>
      <c r="C39" s="35" t="s">
        <v>15</v>
      </c>
      <c r="D39" s="35" t="s">
        <v>214</v>
      </c>
      <c r="E39" s="35">
        <v>29</v>
      </c>
      <c r="F39" s="35" t="s">
        <v>17</v>
      </c>
      <c r="G39" s="35" t="s">
        <v>4</v>
      </c>
      <c r="H39" s="35">
        <v>69000</v>
      </c>
      <c r="I39" s="35" t="s">
        <v>2</v>
      </c>
      <c r="J39" s="35">
        <v>6200</v>
      </c>
      <c r="K39" s="35" t="s">
        <v>1</v>
      </c>
      <c r="L39" s="35">
        <v>12500</v>
      </c>
      <c r="M39" s="35">
        <v>3000</v>
      </c>
      <c r="N39" s="35">
        <v>728</v>
      </c>
      <c r="O39" s="35" t="s">
        <v>24</v>
      </c>
      <c r="P39" s="11" t="str">
        <f>IF(COUNTBLANK(#REF!)=0,#REF!,"Unknown")</f>
        <v>Kolkata</v>
      </c>
      <c r="Q39" s="11" t="str">
        <f>IF(COUNTBLANK(#REF!)=0,#REF!,"Unknown")</f>
        <v>Salary</v>
      </c>
      <c r="R39" s="11" t="str">
        <f>IF(COUNTBLANK(#REF!)=0,#REF!,"Unknown")</f>
        <v>Groceries</v>
      </c>
      <c r="S39" s="11">
        <f>IF(COUNTBLANK(#REF!)=0,#REF!,0)</f>
        <v>3000</v>
      </c>
      <c r="T39" s="11" t="str">
        <f t="shared" si="1"/>
        <v>UPI</v>
      </c>
    </row>
    <row r="40" spans="1:20" x14ac:dyDescent="0.25">
      <c r="A40" s="35" t="s">
        <v>215</v>
      </c>
      <c r="B40" s="36">
        <v>45745</v>
      </c>
      <c r="C40" s="35" t="s">
        <v>105</v>
      </c>
      <c r="D40" s="35" t="s">
        <v>216</v>
      </c>
      <c r="E40" s="35">
        <v>33</v>
      </c>
      <c r="F40" s="35"/>
      <c r="G40" s="35" t="s">
        <v>4</v>
      </c>
      <c r="H40" s="35">
        <v>78000</v>
      </c>
      <c r="I40" s="35" t="s">
        <v>5</v>
      </c>
      <c r="J40" s="35">
        <v>22000</v>
      </c>
      <c r="K40" s="35" t="s">
        <v>23</v>
      </c>
      <c r="L40" s="35">
        <v>15000</v>
      </c>
      <c r="M40" s="35">
        <v>7000</v>
      </c>
      <c r="N40" s="35">
        <v>739</v>
      </c>
      <c r="O40" s="35" t="s">
        <v>24</v>
      </c>
      <c r="P40" s="11" t="str">
        <f>IF(COUNTBLANK(#REF!)=0,#REF!,"Unknown")</f>
        <v>Unknown</v>
      </c>
      <c r="Q40" s="11" t="str">
        <f>IF(COUNTBLANK(#REF!)=0,#REF!,"Unknown")</f>
        <v>Salary</v>
      </c>
      <c r="R40" s="11" t="str">
        <f>IF(COUNTBLANK(#REF!)=0,#REF!,"Unknown")</f>
        <v>Rent</v>
      </c>
      <c r="S40" s="11">
        <f>IF(COUNTBLANK(#REF!)=0,#REF!,0)</f>
        <v>7000</v>
      </c>
      <c r="T40" s="11" t="str">
        <f t="shared" si="1"/>
        <v>Card</v>
      </c>
    </row>
    <row r="41" spans="1:20" x14ac:dyDescent="0.25">
      <c r="A41" s="35" t="s">
        <v>217</v>
      </c>
      <c r="B41" s="36">
        <v>45746</v>
      </c>
      <c r="C41" s="35" t="s">
        <v>163</v>
      </c>
      <c r="D41" s="35" t="s">
        <v>218</v>
      </c>
      <c r="E41" s="35">
        <v>24</v>
      </c>
      <c r="F41" s="35" t="s">
        <v>17</v>
      </c>
      <c r="G41" s="35" t="s">
        <v>49</v>
      </c>
      <c r="H41" s="35">
        <v>30000</v>
      </c>
      <c r="I41" s="35" t="s">
        <v>63</v>
      </c>
      <c r="J41" s="35">
        <v>3500</v>
      </c>
      <c r="K41" s="35" t="s">
        <v>0</v>
      </c>
      <c r="L41" s="35">
        <v>4000</v>
      </c>
      <c r="M41" s="35"/>
      <c r="N41" s="35">
        <v>680</v>
      </c>
      <c r="O41" s="35" t="s">
        <v>28</v>
      </c>
      <c r="P41" s="11" t="str">
        <f>IF(COUNTBLANK(#REF!)=0,#REF!,"Unknown")</f>
        <v>Kolkata</v>
      </c>
      <c r="Q41" s="11" t="str">
        <f>IF(COUNTBLANK(#REF!)=0,#REF!,"Unknown")</f>
        <v>Internship</v>
      </c>
      <c r="R41" s="11" t="str">
        <f>IF(COUNTBLANK(#REF!)=0,#REF!,"Unknown")</f>
        <v>Food</v>
      </c>
      <c r="S41" s="11">
        <f>IF(COUNTBLANK(#REF!)=0,#REF!,0)</f>
        <v>0</v>
      </c>
      <c r="T41" s="11" t="str">
        <f t="shared" si="1"/>
        <v>Cash</v>
      </c>
    </row>
    <row r="42" spans="1:20" x14ac:dyDescent="0.25">
      <c r="A42" s="35" t="s">
        <v>219</v>
      </c>
      <c r="B42" s="36">
        <v>45747</v>
      </c>
      <c r="C42" s="35" t="s">
        <v>222</v>
      </c>
      <c r="D42" s="35" t="s">
        <v>220</v>
      </c>
      <c r="E42" s="35">
        <v>45</v>
      </c>
      <c r="F42" s="35" t="s">
        <v>31</v>
      </c>
      <c r="G42" s="35" t="s">
        <v>32</v>
      </c>
      <c r="H42" s="35">
        <v>158000</v>
      </c>
      <c r="I42" s="35" t="s">
        <v>42</v>
      </c>
      <c r="J42" s="35">
        <v>9100</v>
      </c>
      <c r="K42" s="35" t="s">
        <v>33</v>
      </c>
      <c r="L42" s="35">
        <v>54000</v>
      </c>
      <c r="M42" s="35">
        <v>8000</v>
      </c>
      <c r="N42" s="35">
        <v>822</v>
      </c>
      <c r="O42" s="35" t="s">
        <v>34</v>
      </c>
      <c r="P42" s="11" t="str">
        <f>IF(COUNTBLANK(#REF!)=0,#REF!,"Unknown")</f>
        <v>Bangalore</v>
      </c>
      <c r="Q42" s="11" t="str">
        <f>IF(COUNTBLANK(#REF!)=0,#REF!,"Unknown")</f>
        <v>Business</v>
      </c>
      <c r="R42" s="11" t="str">
        <f>IF(COUNTBLANK(#REF!)=0,#REF!,"Unknown")</f>
        <v>Healthcare</v>
      </c>
      <c r="S42" s="11">
        <f>IF(COUNTBLANK(#REF!)=0,#REF!,0)</f>
        <v>8000</v>
      </c>
      <c r="T42" s="11" t="str">
        <f t="shared" si="1"/>
        <v>NetBanking</v>
      </c>
    </row>
    <row r="43" spans="1:20" x14ac:dyDescent="0.25">
      <c r="A43" s="35" t="s">
        <v>221</v>
      </c>
      <c r="B43" s="36">
        <v>45748</v>
      </c>
      <c r="C43" s="35" t="s">
        <v>246</v>
      </c>
      <c r="D43" s="35" t="s">
        <v>223</v>
      </c>
      <c r="E43" s="35">
        <v>30</v>
      </c>
      <c r="F43" s="35" t="s">
        <v>17</v>
      </c>
      <c r="G43" s="35"/>
      <c r="H43" s="35">
        <v>73000</v>
      </c>
      <c r="I43" s="35" t="s">
        <v>58</v>
      </c>
      <c r="J43" s="35">
        <v>7900</v>
      </c>
      <c r="K43" s="35"/>
      <c r="L43" s="35">
        <v>13500</v>
      </c>
      <c r="M43" s="35">
        <v>4000</v>
      </c>
      <c r="N43" s="35">
        <v>736</v>
      </c>
      <c r="O43" s="35" t="s">
        <v>24</v>
      </c>
      <c r="P43" s="11" t="str">
        <f>IF(COUNTBLANK(#REF!)=0,#REF!,"Unknown")</f>
        <v>Kolkata</v>
      </c>
      <c r="Q43" s="11" t="str">
        <f>IF(COUNTBLANK(#REF!)=0,#REF!,"Unknown")</f>
        <v>Unknown</v>
      </c>
      <c r="R43" s="11" t="str">
        <f>IF(COUNTBLANK(#REF!)=0,#REF!,"Unknown")</f>
        <v>Shopping</v>
      </c>
      <c r="S43" s="11">
        <f>IF(COUNTBLANK(#REF!)=0,#REF!,0)</f>
        <v>4000</v>
      </c>
      <c r="T43" s="11" t="str">
        <f t="shared" si="1"/>
        <v>Cash/UPI</v>
      </c>
    </row>
    <row r="44" spans="1:20" x14ac:dyDescent="0.25">
      <c r="A44" s="35" t="s">
        <v>224</v>
      </c>
      <c r="B44" s="36">
        <v>45749</v>
      </c>
      <c r="C44" s="35" t="s">
        <v>247</v>
      </c>
      <c r="D44" s="35" t="s">
        <v>225</v>
      </c>
      <c r="E44" s="35">
        <v>36</v>
      </c>
      <c r="F44" s="35" t="s">
        <v>21</v>
      </c>
      <c r="G44" s="35" t="s">
        <v>4</v>
      </c>
      <c r="H44" s="35">
        <v>86000</v>
      </c>
      <c r="I44" s="35"/>
      <c r="J44" s="35">
        <v>9700</v>
      </c>
      <c r="K44" s="35" t="s">
        <v>23</v>
      </c>
      <c r="L44" s="35">
        <v>19000</v>
      </c>
      <c r="M44" s="35">
        <v>10000</v>
      </c>
      <c r="N44" s="35">
        <v>748</v>
      </c>
      <c r="O44" s="35" t="s">
        <v>24</v>
      </c>
      <c r="P44" s="11" t="str">
        <f>IF(COUNTBLANK(#REF!)=0,#REF!,"Unknown")</f>
        <v>Mumbai</v>
      </c>
      <c r="Q44" s="11" t="str">
        <f>IF(COUNTBLANK(#REF!)=0,#REF!,"Unknown")</f>
        <v>Salary</v>
      </c>
      <c r="R44" s="11" t="str">
        <f>IF(COUNTBLANK(#REF!)=0,#REF!,"Unknown")</f>
        <v>Unknown</v>
      </c>
      <c r="S44" s="11">
        <f>IF(COUNTBLANK(#REF!)=0,#REF!,0)</f>
        <v>10000</v>
      </c>
      <c r="T44" s="11" t="str">
        <f t="shared" si="1"/>
        <v>Card</v>
      </c>
    </row>
    <row r="45" spans="1:20" x14ac:dyDescent="0.25">
      <c r="A45" s="35" t="s">
        <v>226</v>
      </c>
      <c r="B45" s="36">
        <v>45750</v>
      </c>
      <c r="C45" s="35" t="s">
        <v>248</v>
      </c>
      <c r="D45" s="35" t="s">
        <v>227</v>
      </c>
      <c r="E45" s="35">
        <v>27</v>
      </c>
      <c r="F45" s="35" t="s">
        <v>17</v>
      </c>
      <c r="G45" s="35" t="s">
        <v>22</v>
      </c>
      <c r="H45" s="35">
        <v>52000</v>
      </c>
      <c r="I45" s="35" t="s">
        <v>8</v>
      </c>
      <c r="J45" s="35">
        <v>4500</v>
      </c>
      <c r="K45" s="35" t="s">
        <v>1</v>
      </c>
      <c r="L45" s="35">
        <v>6500</v>
      </c>
      <c r="M45" s="35"/>
      <c r="N45" s="35">
        <v>696</v>
      </c>
      <c r="O45" s="35" t="s">
        <v>28</v>
      </c>
      <c r="P45" s="11" t="str">
        <f>IF(COUNTBLANK(#REF!)=0,#REF!,"Unknown")</f>
        <v>Kolkata</v>
      </c>
      <c r="Q45" s="11" t="str">
        <f>IF(COUNTBLANK(#REF!)=0,#REF!,"Unknown")</f>
        <v>Freelancing</v>
      </c>
      <c r="R45" s="11" t="str">
        <f>IF(COUNTBLANK(#REF!)=0,#REF!,"Unknown")</f>
        <v>Entertainment</v>
      </c>
      <c r="S45" s="11">
        <f>IF(COUNTBLANK(#REF!)=0,#REF!,0)</f>
        <v>0</v>
      </c>
      <c r="T45" s="11" t="str">
        <f t="shared" si="1"/>
        <v>UPI</v>
      </c>
    </row>
    <row r="46" spans="1:20" x14ac:dyDescent="0.25">
      <c r="A46" s="35" t="s">
        <v>228</v>
      </c>
      <c r="B46" s="36">
        <v>45751</v>
      </c>
      <c r="C46" s="35" t="s">
        <v>249</v>
      </c>
      <c r="D46" s="35" t="s">
        <v>229</v>
      </c>
      <c r="E46" s="35">
        <v>41</v>
      </c>
      <c r="F46" s="35" t="s">
        <v>27</v>
      </c>
      <c r="G46" s="35" t="s">
        <v>32</v>
      </c>
      <c r="H46" s="35">
        <v>139000</v>
      </c>
      <c r="I46" s="35" t="s">
        <v>9</v>
      </c>
      <c r="J46" s="35">
        <v>35000</v>
      </c>
      <c r="K46" s="35" t="s">
        <v>46</v>
      </c>
      <c r="L46" s="35">
        <v>42000</v>
      </c>
      <c r="M46" s="35">
        <v>18000</v>
      </c>
      <c r="N46" s="35">
        <v>801</v>
      </c>
      <c r="O46" s="35" t="s">
        <v>34</v>
      </c>
      <c r="P46" s="11" t="str">
        <f>IF(COUNTBLANK(#REF!)=0,#REF!,"Unknown")</f>
        <v>Delhi</v>
      </c>
      <c r="Q46" s="11" t="str">
        <f>IF(COUNTBLANK(#REF!)=0,#REF!,"Unknown")</f>
        <v>Business</v>
      </c>
      <c r="R46" s="11" t="str">
        <f>IF(COUNTBLANK(#REF!)=0,#REF!,"Unknown")</f>
        <v>Investment</v>
      </c>
      <c r="S46" s="11">
        <f>IF(COUNTBLANK(#REF!)=0,#REF!,0)</f>
        <v>18000</v>
      </c>
      <c r="T46" s="11" t="str">
        <f t="shared" si="1"/>
        <v>Cheque</v>
      </c>
    </row>
    <row r="47" spans="1:20" x14ac:dyDescent="0.25">
      <c r="A47" s="35" t="s">
        <v>230</v>
      </c>
      <c r="B47" s="36">
        <v>45752</v>
      </c>
      <c r="C47" s="35" t="s">
        <v>250</v>
      </c>
      <c r="D47" s="35" t="s">
        <v>231</v>
      </c>
      <c r="E47" s="35">
        <v>31</v>
      </c>
      <c r="F47" s="35" t="s">
        <v>17</v>
      </c>
      <c r="G47" s="35" t="s">
        <v>4</v>
      </c>
      <c r="H47" s="35">
        <v>71000</v>
      </c>
      <c r="I47" s="35" t="s">
        <v>7</v>
      </c>
      <c r="J47" s="35">
        <v>6100</v>
      </c>
      <c r="K47" s="35" t="s">
        <v>23</v>
      </c>
      <c r="L47" s="35">
        <v>14000</v>
      </c>
      <c r="M47" s="35">
        <v>3500</v>
      </c>
      <c r="N47" s="35">
        <v>734</v>
      </c>
      <c r="O47" s="35" t="s">
        <v>24</v>
      </c>
      <c r="P47" s="11" t="str">
        <f>IF(COUNTBLANK(#REF!)=0,#REF!,"Unknown")</f>
        <v>Kolkata</v>
      </c>
      <c r="Q47" s="11" t="str">
        <f>IF(COUNTBLANK(#REF!)=0,#REF!,"Unknown")</f>
        <v>Salary</v>
      </c>
      <c r="R47" s="11" t="str">
        <f>IF(COUNTBLANK(#REF!)=0,#REF!,"Unknown")</f>
        <v>Utilities</v>
      </c>
      <c r="S47" s="11">
        <f>IF(COUNTBLANK(#REF!)=0,#REF!,0)</f>
        <v>3500</v>
      </c>
      <c r="T47" s="11" t="str">
        <f t="shared" si="1"/>
        <v>Card</v>
      </c>
    </row>
    <row r="48" spans="1:20" x14ac:dyDescent="0.25">
      <c r="A48" s="35" t="s">
        <v>232</v>
      </c>
      <c r="B48" s="36">
        <v>45753</v>
      </c>
      <c r="C48" s="35" t="s">
        <v>251</v>
      </c>
      <c r="D48" s="35" t="s">
        <v>233</v>
      </c>
      <c r="E48" s="35">
        <v>28</v>
      </c>
      <c r="F48" s="35"/>
      <c r="G48" s="35" t="s">
        <v>4</v>
      </c>
      <c r="H48" s="35">
        <v>67000</v>
      </c>
      <c r="I48" s="35" t="s">
        <v>5</v>
      </c>
      <c r="J48" s="35">
        <v>19500</v>
      </c>
      <c r="K48" s="35" t="s">
        <v>1</v>
      </c>
      <c r="L48" s="35">
        <v>10500</v>
      </c>
      <c r="M48" s="35">
        <v>4500</v>
      </c>
      <c r="N48" s="35">
        <v>718</v>
      </c>
      <c r="O48" s="35" t="s">
        <v>18</v>
      </c>
      <c r="P48" s="11" t="str">
        <f>IF(COUNTBLANK(#REF!)=0,#REF!,"Unknown")</f>
        <v>Unknown</v>
      </c>
      <c r="Q48" s="11" t="str">
        <f>IF(COUNTBLANK(#REF!)=0,#REF!,"Unknown")</f>
        <v>Salary</v>
      </c>
      <c r="R48" s="11" t="str">
        <f>IF(COUNTBLANK(#REF!)=0,#REF!,"Unknown")</f>
        <v>Rent</v>
      </c>
      <c r="S48" s="11">
        <f>IF(COUNTBLANK(#REF!)=0,#REF!,0)</f>
        <v>4500</v>
      </c>
      <c r="T48" s="11" t="str">
        <f t="shared" si="1"/>
        <v>UPI</v>
      </c>
    </row>
    <row r="49" spans="1:20" x14ac:dyDescent="0.25">
      <c r="A49" s="35" t="s">
        <v>234</v>
      </c>
      <c r="B49" s="36">
        <v>45754</v>
      </c>
      <c r="C49" s="35" t="s">
        <v>252</v>
      </c>
      <c r="D49" s="35" t="s">
        <v>235</v>
      </c>
      <c r="E49" s="35">
        <v>25</v>
      </c>
      <c r="F49" s="35" t="s">
        <v>17</v>
      </c>
      <c r="G49" s="35" t="s">
        <v>49</v>
      </c>
      <c r="H49" s="35">
        <v>31000</v>
      </c>
      <c r="I49" s="35" t="s">
        <v>50</v>
      </c>
      <c r="J49" s="35">
        <v>3900</v>
      </c>
      <c r="K49" s="35" t="s">
        <v>0</v>
      </c>
      <c r="L49" s="35">
        <v>3000</v>
      </c>
      <c r="M49" s="35"/>
      <c r="N49" s="35">
        <v>677</v>
      </c>
      <c r="O49" s="35" t="s">
        <v>28</v>
      </c>
      <c r="P49" s="11" t="str">
        <f>IF(COUNTBLANK(#REF!)=0,#REF!,"Unknown")</f>
        <v>Kolkata</v>
      </c>
      <c r="Q49" s="11" t="str">
        <f>IF(COUNTBLANK(#REF!)=0,#REF!,"Unknown")</f>
        <v>Internship</v>
      </c>
      <c r="R49" s="11" t="str">
        <f>IF(COUNTBLANK(#REF!)=0,#REF!,"Unknown")</f>
        <v>Education</v>
      </c>
      <c r="S49" s="11">
        <f>IF(COUNTBLANK(#REF!)=0,#REF!,0)</f>
        <v>0</v>
      </c>
      <c r="T49" s="11" t="str">
        <f t="shared" si="1"/>
        <v>Cash</v>
      </c>
    </row>
    <row r="50" spans="1:20" x14ac:dyDescent="0.25">
      <c r="A50" s="35" t="s">
        <v>236</v>
      </c>
      <c r="B50" s="36">
        <v>45755</v>
      </c>
      <c r="C50" s="35" t="s">
        <v>253</v>
      </c>
      <c r="D50" s="35" t="s">
        <v>237</v>
      </c>
      <c r="E50" s="35">
        <v>43</v>
      </c>
      <c r="F50" s="35" t="s">
        <v>81</v>
      </c>
      <c r="G50" s="35" t="s">
        <v>32</v>
      </c>
      <c r="H50" s="35">
        <v>148000</v>
      </c>
      <c r="I50" s="35" t="s">
        <v>42</v>
      </c>
      <c r="J50" s="35">
        <v>8300</v>
      </c>
      <c r="K50" s="35" t="s">
        <v>33</v>
      </c>
      <c r="L50" s="35">
        <v>49000</v>
      </c>
      <c r="M50" s="35">
        <v>22000</v>
      </c>
      <c r="N50" s="35">
        <v>814</v>
      </c>
      <c r="O50" s="35" t="s">
        <v>34</v>
      </c>
      <c r="P50" s="11" t="str">
        <f>IF(COUNTBLANK(#REF!)=0,#REF!,"Unknown")</f>
        <v>Ahmedabad</v>
      </c>
      <c r="Q50" s="11" t="str">
        <f>IF(COUNTBLANK(#REF!)=0,#REF!,"Unknown")</f>
        <v>Business</v>
      </c>
      <c r="R50" s="11" t="str">
        <f>IF(COUNTBLANK(#REF!)=0,#REF!,"Unknown")</f>
        <v>Healthcare</v>
      </c>
      <c r="S50" s="11">
        <f>IF(COUNTBLANK(#REF!)=0,#REF!,0)</f>
        <v>22000</v>
      </c>
      <c r="T50" s="11" t="str">
        <f t="shared" si="1"/>
        <v>NetBanking</v>
      </c>
    </row>
    <row r="51" spans="1:20" x14ac:dyDescent="0.25">
      <c r="A51" s="35" t="s">
        <v>238</v>
      </c>
      <c r="B51" s="36">
        <v>45756</v>
      </c>
      <c r="C51" s="35" t="s">
        <v>15</v>
      </c>
      <c r="D51" s="35" t="s">
        <v>239</v>
      </c>
      <c r="E51" s="35">
        <v>30</v>
      </c>
      <c r="F51" s="35" t="s">
        <v>17</v>
      </c>
      <c r="G51" s="35" t="s">
        <v>4</v>
      </c>
      <c r="H51" s="35">
        <v>72000</v>
      </c>
      <c r="I51" s="35" t="s">
        <v>58</v>
      </c>
      <c r="J51" s="35">
        <v>7400</v>
      </c>
      <c r="K51" s="35" t="s">
        <v>1</v>
      </c>
      <c r="L51" s="35">
        <v>13200</v>
      </c>
      <c r="M51" s="35">
        <v>3000</v>
      </c>
      <c r="N51" s="35">
        <v>731</v>
      </c>
      <c r="O51" s="35" t="s">
        <v>24</v>
      </c>
      <c r="P51" s="11" t="str">
        <f>IF(COUNTBLANK(#REF!)=0,#REF!,"Unknown")</f>
        <v>Kolkata</v>
      </c>
      <c r="Q51" s="11" t="str">
        <f>IF(COUNTBLANK(#REF!)=0,#REF!,"Unknown")</f>
        <v>Salary</v>
      </c>
      <c r="R51" s="11" t="str">
        <f>IF(COUNTBLANK(#REF!)=0,#REF!,"Unknown")</f>
        <v>Shopping</v>
      </c>
      <c r="S51" s="11">
        <f>IF(COUNTBLANK(#REF!)=0,#REF!,0)</f>
        <v>3000</v>
      </c>
      <c r="T51" s="11" t="str">
        <f t="shared" si="1"/>
        <v>UPI</v>
      </c>
    </row>
    <row r="52" spans="1:20" x14ac:dyDescent="0.25">
      <c r="A52" s="35" t="s">
        <v>240</v>
      </c>
      <c r="B52" s="36">
        <v>45757</v>
      </c>
      <c r="C52" s="35" t="s">
        <v>105</v>
      </c>
      <c r="D52" s="35" t="s">
        <v>241</v>
      </c>
      <c r="E52" s="35">
        <v>35</v>
      </c>
      <c r="F52" s="35" t="s">
        <v>27</v>
      </c>
      <c r="G52" s="35"/>
      <c r="H52" s="35">
        <v>80000</v>
      </c>
      <c r="I52" s="35" t="s">
        <v>54</v>
      </c>
      <c r="J52" s="35">
        <v>10100</v>
      </c>
      <c r="K52" s="35" t="s">
        <v>23</v>
      </c>
      <c r="L52" s="35">
        <v>17500</v>
      </c>
      <c r="M52" s="35">
        <v>9000</v>
      </c>
      <c r="N52" s="35">
        <v>744</v>
      </c>
      <c r="O52" s="35" t="s">
        <v>24</v>
      </c>
      <c r="P52" s="11" t="str">
        <f>IF(COUNTBLANK(#REF!)=0,#REF!,"Unknown")</f>
        <v>Delhi</v>
      </c>
      <c r="Q52" s="11" t="str">
        <f>IF(COUNTBLANK(#REF!)=0,#REF!,"Unknown")</f>
        <v>Unknown</v>
      </c>
      <c r="R52" s="11" t="str">
        <f>IF(COUNTBLANK(#REF!)=0,#REF!,"Unknown")</f>
        <v>Travel</v>
      </c>
      <c r="S52" s="11">
        <f>IF(COUNTBLANK(#REF!)=0,#REF!,0)</f>
        <v>9000</v>
      </c>
      <c r="T52" s="11" t="str">
        <f t="shared" si="1"/>
        <v>Card</v>
      </c>
    </row>
    <row r="53" spans="1:20" x14ac:dyDescent="0.25">
      <c r="A53" s="35" t="s">
        <v>242</v>
      </c>
      <c r="B53" s="36">
        <v>45758</v>
      </c>
      <c r="C53" s="35" t="s">
        <v>163</v>
      </c>
      <c r="D53" s="35" t="s">
        <v>243</v>
      </c>
      <c r="E53" s="35">
        <v>27</v>
      </c>
      <c r="F53" s="35" t="s">
        <v>17</v>
      </c>
      <c r="G53" s="35" t="s">
        <v>22</v>
      </c>
      <c r="H53" s="35">
        <v>54000</v>
      </c>
      <c r="I53" s="35" t="s">
        <v>63</v>
      </c>
      <c r="J53" s="35">
        <v>5100</v>
      </c>
      <c r="K53" s="35" t="s">
        <v>1</v>
      </c>
      <c r="L53" s="35">
        <v>7200</v>
      </c>
      <c r="M53" s="35"/>
      <c r="N53" s="35">
        <v>700</v>
      </c>
      <c r="O53" s="35" t="s">
        <v>18</v>
      </c>
      <c r="P53" s="11" t="str">
        <f>IF(COUNTBLANK(#REF!)=0,#REF!,"Unknown")</f>
        <v>Kolkata</v>
      </c>
      <c r="Q53" s="11" t="str">
        <f>IF(COUNTBLANK(#REF!)=0,#REF!,"Unknown")</f>
        <v>Freelancing</v>
      </c>
      <c r="R53" s="11" t="str">
        <f>IF(COUNTBLANK(#REF!)=0,#REF!,"Unknown")</f>
        <v>Food</v>
      </c>
      <c r="S53" s="11">
        <f>IF(COUNTBLANK(#REF!)=0,#REF!,0)</f>
        <v>0</v>
      </c>
      <c r="T53" s="11" t="str">
        <f t="shared" si="1"/>
        <v>UPI</v>
      </c>
    </row>
    <row r="54" spans="1:20" x14ac:dyDescent="0.25">
      <c r="A54" s="35" t="s">
        <v>94</v>
      </c>
      <c r="B54" s="36">
        <v>45684</v>
      </c>
      <c r="C54" s="35" t="s">
        <v>222</v>
      </c>
      <c r="D54" s="35" t="s">
        <v>95</v>
      </c>
      <c r="E54" s="35">
        <v>30</v>
      </c>
      <c r="F54" s="35" t="s">
        <v>17</v>
      </c>
      <c r="G54" s="35" t="s">
        <v>4</v>
      </c>
      <c r="H54" s="35">
        <v>67000</v>
      </c>
      <c r="I54" s="35" t="s">
        <v>42</v>
      </c>
      <c r="J54" s="35">
        <v>3400</v>
      </c>
      <c r="K54" s="35" t="s">
        <v>1</v>
      </c>
      <c r="L54" s="35">
        <v>14000</v>
      </c>
      <c r="M54" s="35">
        <v>2500</v>
      </c>
      <c r="N54" s="35">
        <v>738</v>
      </c>
      <c r="O54" s="35" t="s">
        <v>24</v>
      </c>
      <c r="P54" s="11" t="str">
        <f>IF(COUNTBLANK(#REF!)=0,#REF!,"Unknown")</f>
        <v>Kolkata</v>
      </c>
      <c r="Q54" s="11" t="str">
        <f>IF(COUNTBLANK(#REF!)=0,#REF!,"Unknown")</f>
        <v>Salary</v>
      </c>
      <c r="R54" s="11" t="str">
        <f>IF(COUNTBLANK(#REF!)=0,#REF!,"Unknown")</f>
        <v>Healthcare</v>
      </c>
      <c r="S54" s="11">
        <f>IF(COUNTBLANK(#REF!)=0,#REF!,0)</f>
        <v>2500</v>
      </c>
      <c r="T54" s="11" t="str">
        <f t="shared" si="1"/>
        <v>UPI</v>
      </c>
    </row>
    <row r="55" spans="1:20" x14ac:dyDescent="0.25">
      <c r="A55" s="35" t="s">
        <v>96</v>
      </c>
      <c r="B55" s="36">
        <v>45685</v>
      </c>
      <c r="C55" s="35" t="s">
        <v>246</v>
      </c>
      <c r="D55" s="35" t="s">
        <v>97</v>
      </c>
      <c r="E55" s="35">
        <v>27</v>
      </c>
      <c r="F55" s="35" t="s">
        <v>27</v>
      </c>
      <c r="G55" s="35" t="s">
        <v>22</v>
      </c>
      <c r="H55" s="35">
        <v>51000</v>
      </c>
      <c r="I55" s="35"/>
      <c r="J55" s="35">
        <v>4700</v>
      </c>
      <c r="K55" s="35" t="s">
        <v>0</v>
      </c>
      <c r="L55" s="35">
        <v>6000</v>
      </c>
      <c r="M55" s="35"/>
      <c r="N55" s="35">
        <v>688</v>
      </c>
      <c r="O55" s="35" t="s">
        <v>28</v>
      </c>
      <c r="P55" s="11" t="str">
        <f>IF(COUNTBLANK(#REF!)=0,#REF!,"Unknown")</f>
        <v>Delhi</v>
      </c>
      <c r="Q55" s="11" t="str">
        <f>IF(COUNTBLANK(#REF!)=0,#REF!,"Unknown")</f>
        <v>Freelancing</v>
      </c>
      <c r="R55" s="11" t="str">
        <f>IF(COUNTBLANK(#REF!)=0,#REF!,"Unknown")</f>
        <v>Unknown</v>
      </c>
      <c r="S55" s="11">
        <f>IF(COUNTBLANK(#REF!)=0,#REF!,0)</f>
        <v>0</v>
      </c>
      <c r="T55" s="11" t="str">
        <f t="shared" si="1"/>
        <v>Cash</v>
      </c>
    </row>
    <row r="56" spans="1:20" x14ac:dyDescent="0.25">
      <c r="A56" s="35" t="s">
        <v>98</v>
      </c>
      <c r="B56" s="36">
        <v>45686</v>
      </c>
      <c r="C56" s="35" t="s">
        <v>247</v>
      </c>
      <c r="D56" s="35" t="s">
        <v>99</v>
      </c>
      <c r="E56" s="35">
        <v>35</v>
      </c>
      <c r="F56" s="35" t="s">
        <v>31</v>
      </c>
      <c r="G56" s="35" t="s">
        <v>32</v>
      </c>
      <c r="H56" s="35">
        <v>118000</v>
      </c>
      <c r="I56" s="35" t="s">
        <v>5</v>
      </c>
      <c r="J56" s="35">
        <v>28000</v>
      </c>
      <c r="K56" s="35"/>
      <c r="L56" s="35">
        <v>32000</v>
      </c>
      <c r="M56" s="35">
        <v>14000</v>
      </c>
      <c r="N56" s="35">
        <v>799</v>
      </c>
      <c r="O56" s="35" t="s">
        <v>34</v>
      </c>
      <c r="P56" s="11" t="str">
        <f>IF(COUNTBLANK(#REF!)=0,#REF!,"Unknown")</f>
        <v>Bangalore</v>
      </c>
      <c r="Q56" s="11" t="str">
        <f>IF(COUNTBLANK(#REF!)=0,#REF!,"Unknown")</f>
        <v>Business</v>
      </c>
      <c r="R56" s="11" t="str">
        <f>IF(COUNTBLANK(#REF!)=0,#REF!,"Unknown")</f>
        <v>Rent</v>
      </c>
      <c r="S56" s="11">
        <f>IF(COUNTBLANK(#REF!)=0,#REF!,0)</f>
        <v>14000</v>
      </c>
      <c r="T56" s="11" t="str">
        <f t="shared" si="1"/>
        <v>Cash/UPI</v>
      </c>
    </row>
    <row r="57" spans="1:20" x14ac:dyDescent="0.25">
      <c r="A57" s="35" t="s">
        <v>100</v>
      </c>
      <c r="B57" s="36">
        <v>45687</v>
      </c>
      <c r="C57" s="35" t="s">
        <v>248</v>
      </c>
      <c r="D57" s="35" t="s">
        <v>101</v>
      </c>
      <c r="E57" s="35">
        <v>44</v>
      </c>
      <c r="F57" s="35"/>
      <c r="G57" s="35" t="s">
        <v>4</v>
      </c>
      <c r="H57" s="35">
        <v>83000</v>
      </c>
      <c r="I57" s="35" t="s">
        <v>7</v>
      </c>
      <c r="J57" s="35">
        <v>7200</v>
      </c>
      <c r="K57" s="35" t="s">
        <v>33</v>
      </c>
      <c r="L57" s="35">
        <v>18000</v>
      </c>
      <c r="M57" s="35">
        <v>10000</v>
      </c>
      <c r="N57" s="35">
        <v>712</v>
      </c>
      <c r="O57" s="35" t="s">
        <v>18</v>
      </c>
      <c r="P57" s="11" t="str">
        <f>IF(COUNTBLANK(#REF!)=0,#REF!,"Unknown")</f>
        <v>Unknown</v>
      </c>
      <c r="Q57" s="11" t="str">
        <f>IF(COUNTBLANK(#REF!)=0,#REF!,"Unknown")</f>
        <v>Salary</v>
      </c>
      <c r="R57" s="11" t="str">
        <f>IF(COUNTBLANK(#REF!)=0,#REF!,"Unknown")</f>
        <v>Utilities</v>
      </c>
      <c r="S57" s="11">
        <f>IF(COUNTBLANK(#REF!)=0,#REF!,0)</f>
        <v>10000</v>
      </c>
      <c r="T57" s="11" t="str">
        <f t="shared" si="1"/>
        <v>NetBanking</v>
      </c>
    </row>
    <row r="58" spans="1:20" x14ac:dyDescent="0.25">
      <c r="A58" s="35" t="s">
        <v>102</v>
      </c>
      <c r="B58" s="36">
        <v>45688</v>
      </c>
      <c r="C58" s="35" t="s">
        <v>249</v>
      </c>
      <c r="D58" s="35" t="s">
        <v>103</v>
      </c>
      <c r="E58" s="35">
        <v>26</v>
      </c>
      <c r="F58" s="35" t="s">
        <v>17</v>
      </c>
      <c r="G58" s="35" t="s">
        <v>49</v>
      </c>
      <c r="H58" s="35">
        <v>31000</v>
      </c>
      <c r="I58" s="35" t="s">
        <v>50</v>
      </c>
      <c r="J58" s="35">
        <v>3800</v>
      </c>
      <c r="K58" s="35" t="s">
        <v>1</v>
      </c>
      <c r="L58" s="35">
        <v>4500</v>
      </c>
      <c r="M58" s="35"/>
      <c r="N58" s="35">
        <v>675</v>
      </c>
      <c r="O58" s="35" t="s">
        <v>28</v>
      </c>
      <c r="P58" s="11" t="str">
        <f>IF(COUNTBLANK(#REF!)=0,#REF!,"Unknown")</f>
        <v>Kolkata</v>
      </c>
      <c r="Q58" s="11" t="str">
        <f>IF(COUNTBLANK(#REF!)=0,#REF!,"Unknown")</f>
        <v>Internship</v>
      </c>
      <c r="R58" s="11" t="str">
        <f>IF(COUNTBLANK(#REF!)=0,#REF!,"Unknown")</f>
        <v>Education</v>
      </c>
      <c r="S58" s="11">
        <f>IF(COUNTBLANK(#REF!)=0,#REF!,0)</f>
        <v>0</v>
      </c>
      <c r="T58" s="11" t="str">
        <f t="shared" si="1"/>
        <v>UPI</v>
      </c>
    </row>
    <row r="59" spans="1:20" x14ac:dyDescent="0.25">
      <c r="A59" s="35" t="s">
        <v>104</v>
      </c>
      <c r="B59" s="36">
        <v>45689</v>
      </c>
      <c r="C59" s="35" t="s">
        <v>250</v>
      </c>
      <c r="D59" s="35" t="s">
        <v>106</v>
      </c>
      <c r="E59" s="35">
        <v>33</v>
      </c>
      <c r="F59" s="35" t="s">
        <v>21</v>
      </c>
      <c r="G59" s="35" t="s">
        <v>4</v>
      </c>
      <c r="H59" s="35">
        <v>78000</v>
      </c>
      <c r="I59" s="35" t="s">
        <v>54</v>
      </c>
      <c r="J59" s="35">
        <v>9100</v>
      </c>
      <c r="K59" s="35" t="s">
        <v>23</v>
      </c>
      <c r="L59" s="35">
        <v>13000</v>
      </c>
      <c r="M59" s="35">
        <v>5000</v>
      </c>
      <c r="N59" s="35">
        <v>741</v>
      </c>
      <c r="O59" s="35" t="s">
        <v>24</v>
      </c>
      <c r="P59" s="11" t="str">
        <f>IF(COUNTBLANK(#REF!)=0,#REF!,"Unknown")</f>
        <v>Mumbai</v>
      </c>
      <c r="Q59" s="11" t="str">
        <f>IF(COUNTBLANK(#REF!)=0,#REF!,"Unknown")</f>
        <v>Salary</v>
      </c>
      <c r="R59" s="11" t="str">
        <f>IF(COUNTBLANK(#REF!)=0,#REF!,"Unknown")</f>
        <v>Travel</v>
      </c>
      <c r="S59" s="11">
        <f>IF(COUNTBLANK(#REF!)=0,#REF!,0)</f>
        <v>5000</v>
      </c>
      <c r="T59" s="11" t="str">
        <f t="shared" si="1"/>
        <v>Card</v>
      </c>
    </row>
    <row r="60" spans="1:20" x14ac:dyDescent="0.25">
      <c r="A60" s="35" t="s">
        <v>107</v>
      </c>
      <c r="B60" s="36">
        <v>45690</v>
      </c>
      <c r="C60" s="35" t="s">
        <v>251</v>
      </c>
      <c r="D60" s="35" t="s">
        <v>108</v>
      </c>
      <c r="E60" s="35">
        <v>29</v>
      </c>
      <c r="F60" s="35" t="s">
        <v>57</v>
      </c>
      <c r="G60" s="35" t="s">
        <v>22</v>
      </c>
      <c r="H60" s="35">
        <v>56000</v>
      </c>
      <c r="I60" s="35" t="s">
        <v>58</v>
      </c>
      <c r="J60" s="35">
        <v>6900</v>
      </c>
      <c r="K60" s="35" t="s">
        <v>1</v>
      </c>
      <c r="L60" s="35">
        <v>8000</v>
      </c>
      <c r="M60" s="35">
        <v>7000</v>
      </c>
      <c r="N60" s="35">
        <v>701</v>
      </c>
      <c r="O60" s="35" t="s">
        <v>18</v>
      </c>
      <c r="P60" s="11" t="str">
        <f>IF(COUNTBLANK(#REF!)=0,#REF!,"Unknown")</f>
        <v>Jaipur</v>
      </c>
      <c r="Q60" s="11" t="str">
        <f>IF(COUNTBLANK(#REF!)=0,#REF!,"Unknown")</f>
        <v>Freelancing</v>
      </c>
      <c r="R60" s="11" t="str">
        <f>IF(COUNTBLANK(#REF!)=0,#REF!,"Unknown")</f>
        <v>Shopping</v>
      </c>
      <c r="S60" s="11">
        <f>IF(COUNTBLANK(#REF!)=0,#REF!,0)</f>
        <v>7000</v>
      </c>
      <c r="T60" s="11" t="str">
        <f t="shared" si="1"/>
        <v>UPI</v>
      </c>
    </row>
    <row r="61" spans="1:20" x14ac:dyDescent="0.25">
      <c r="A61" s="35" t="s">
        <v>109</v>
      </c>
      <c r="B61" s="36">
        <v>45691</v>
      </c>
      <c r="C61" s="35" t="s">
        <v>252</v>
      </c>
      <c r="D61" s="35" t="s">
        <v>110</v>
      </c>
      <c r="E61" s="35">
        <v>39</v>
      </c>
      <c r="F61" s="35" t="s">
        <v>27</v>
      </c>
      <c r="G61" s="35"/>
      <c r="H61" s="35">
        <v>138000</v>
      </c>
      <c r="I61" s="35" t="s">
        <v>9</v>
      </c>
      <c r="J61" s="35">
        <v>32000</v>
      </c>
      <c r="K61" s="35" t="s">
        <v>33</v>
      </c>
      <c r="L61" s="35">
        <v>41000</v>
      </c>
      <c r="M61" s="35">
        <v>18000</v>
      </c>
      <c r="N61" s="35">
        <v>807</v>
      </c>
      <c r="O61" s="35" t="s">
        <v>34</v>
      </c>
      <c r="P61" s="11" t="str">
        <f>IF(COUNTBLANK(#REF!)=0,#REF!,"Unknown")</f>
        <v>Delhi</v>
      </c>
      <c r="Q61" s="11" t="str">
        <f>IF(COUNTBLANK(#REF!)=0,#REF!,"Unknown")</f>
        <v>Unknown</v>
      </c>
      <c r="R61" s="11" t="str">
        <f>IF(COUNTBLANK(#REF!)=0,#REF!,"Unknown")</f>
        <v>Investment</v>
      </c>
      <c r="S61" s="11">
        <f>IF(COUNTBLANK(#REF!)=0,#REF!,0)</f>
        <v>18000</v>
      </c>
      <c r="T61" s="11" t="str">
        <f t="shared" si="1"/>
        <v>NetBanking</v>
      </c>
    </row>
    <row r="62" spans="1:20" x14ac:dyDescent="0.25">
      <c r="A62" s="35" t="s">
        <v>111</v>
      </c>
      <c r="B62" s="36">
        <v>45692</v>
      </c>
      <c r="C62" s="35" t="s">
        <v>253</v>
      </c>
      <c r="D62" s="35" t="s">
        <v>112</v>
      </c>
      <c r="E62" s="35">
        <v>31</v>
      </c>
      <c r="F62" s="35" t="s">
        <v>17</v>
      </c>
      <c r="G62" s="35" t="s">
        <v>4</v>
      </c>
      <c r="H62" s="35">
        <v>69000</v>
      </c>
      <c r="I62" s="35" t="s">
        <v>2</v>
      </c>
      <c r="J62" s="35">
        <v>6400</v>
      </c>
      <c r="K62" s="35" t="s">
        <v>23</v>
      </c>
      <c r="L62" s="35">
        <v>12000</v>
      </c>
      <c r="M62" s="35">
        <v>3000</v>
      </c>
      <c r="N62" s="35">
        <v>728</v>
      </c>
      <c r="O62" s="35" t="s">
        <v>24</v>
      </c>
      <c r="P62" s="11" t="str">
        <f>IF(COUNTBLANK(#REF!)=0,#REF!,"Unknown")</f>
        <v>Kolkata</v>
      </c>
      <c r="Q62" s="11" t="str">
        <f>IF(COUNTBLANK(#REF!)=0,#REF!,"Unknown")</f>
        <v>Salary</v>
      </c>
      <c r="R62" s="11" t="str">
        <f>IF(COUNTBLANK(#REF!)=0,#REF!,"Unknown")</f>
        <v>Groceries</v>
      </c>
      <c r="S62" s="11">
        <f>IF(COUNTBLANK(#REF!)=0,#REF!,0)</f>
        <v>3000</v>
      </c>
      <c r="T62" s="11" t="str">
        <f t="shared" si="1"/>
        <v>Card</v>
      </c>
    </row>
    <row r="63" spans="1:20" x14ac:dyDescent="0.25">
      <c r="A63" s="35" t="s">
        <v>113</v>
      </c>
      <c r="B63" s="36">
        <v>45693</v>
      </c>
      <c r="C63" s="35" t="s">
        <v>15</v>
      </c>
      <c r="D63" s="35" t="s">
        <v>114</v>
      </c>
      <c r="E63" s="35">
        <v>28</v>
      </c>
      <c r="F63" s="35" t="s">
        <v>17</v>
      </c>
      <c r="G63" s="35" t="s">
        <v>4</v>
      </c>
      <c r="H63" s="35">
        <v>62000</v>
      </c>
      <c r="I63" s="35" t="s">
        <v>5</v>
      </c>
      <c r="J63" s="35">
        <v>19000</v>
      </c>
      <c r="K63" s="35" t="s">
        <v>1</v>
      </c>
      <c r="L63" s="35">
        <v>10000</v>
      </c>
      <c r="M63" s="35">
        <v>4000</v>
      </c>
      <c r="N63" s="35">
        <v>719</v>
      </c>
      <c r="O63" s="35" t="s">
        <v>18</v>
      </c>
      <c r="P63" s="11" t="str">
        <f>IF(COUNTBLANK(#REF!)=0,#REF!,"Unknown")</f>
        <v>Kolkata</v>
      </c>
      <c r="Q63" s="11" t="str">
        <f>IF(COUNTBLANK(#REF!)=0,#REF!,"Unknown")</f>
        <v>Salary</v>
      </c>
      <c r="R63" s="11" t="str">
        <f>IF(COUNTBLANK(#REF!)=0,#REF!,"Unknown")</f>
        <v>Rent</v>
      </c>
      <c r="S63" s="11">
        <f>IF(COUNTBLANK(#REF!)=0,#REF!,0)</f>
        <v>4000</v>
      </c>
      <c r="T63" s="11" t="str">
        <f t="shared" si="1"/>
        <v>UPI</v>
      </c>
    </row>
    <row r="64" spans="1:20" x14ac:dyDescent="0.25">
      <c r="A64" s="35" t="s">
        <v>115</v>
      </c>
      <c r="B64" s="36">
        <v>45694</v>
      </c>
      <c r="C64" s="35" t="s">
        <v>105</v>
      </c>
      <c r="D64" s="35" t="s">
        <v>116</v>
      </c>
      <c r="E64" s="35">
        <v>36</v>
      </c>
      <c r="F64" s="35" t="s">
        <v>27</v>
      </c>
      <c r="G64" s="35" t="s">
        <v>4</v>
      </c>
      <c r="H64" s="35">
        <v>87000</v>
      </c>
      <c r="I64" s="35" t="s">
        <v>6</v>
      </c>
      <c r="J64" s="35">
        <v>4300</v>
      </c>
      <c r="K64" s="35" t="s">
        <v>0</v>
      </c>
      <c r="L64" s="35">
        <v>17000</v>
      </c>
      <c r="M64" s="35">
        <v>8500</v>
      </c>
      <c r="N64" s="35">
        <v>734</v>
      </c>
      <c r="O64" s="35" t="s">
        <v>24</v>
      </c>
      <c r="P64" s="11" t="str">
        <f>IF(COUNTBLANK(#REF!)=0,#REF!,"Unknown")</f>
        <v>Delhi</v>
      </c>
      <c r="Q64" s="11" t="str">
        <f>IF(COUNTBLANK(#REF!)=0,#REF!,"Unknown")</f>
        <v>Salary</v>
      </c>
      <c r="R64" s="11" t="str">
        <f>IF(COUNTBLANK(#REF!)=0,#REF!,"Unknown")</f>
        <v>Transport</v>
      </c>
      <c r="S64" s="11">
        <f>IF(COUNTBLANK(#REF!)=0,#REF!,0)</f>
        <v>8500</v>
      </c>
      <c r="T64" s="11" t="str">
        <f t="shared" si="1"/>
        <v>Cash</v>
      </c>
    </row>
    <row r="65" spans="1:20" x14ac:dyDescent="0.25">
      <c r="A65" s="35" t="s">
        <v>117</v>
      </c>
      <c r="B65" s="36">
        <v>45695</v>
      </c>
      <c r="C65" s="35" t="s">
        <v>163</v>
      </c>
      <c r="D65" s="35" t="s">
        <v>118</v>
      </c>
      <c r="E65" s="35">
        <v>24</v>
      </c>
      <c r="F65" s="35" t="s">
        <v>41</v>
      </c>
      <c r="G65" s="35" t="s">
        <v>49</v>
      </c>
      <c r="H65" s="35">
        <v>29000</v>
      </c>
      <c r="I65" s="35" t="s">
        <v>8</v>
      </c>
      <c r="J65" s="35">
        <v>3600</v>
      </c>
      <c r="K65" s="35" t="s">
        <v>1</v>
      </c>
      <c r="L65" s="35">
        <v>3000</v>
      </c>
      <c r="M65" s="35"/>
      <c r="N65" s="35">
        <v>682</v>
      </c>
      <c r="O65" s="35" t="s">
        <v>28</v>
      </c>
      <c r="P65" s="11" t="str">
        <f>IF(COUNTBLANK(#REF!)=0,#REF!,"Unknown")</f>
        <v>Pune</v>
      </c>
      <c r="Q65" s="11" t="str">
        <f>IF(COUNTBLANK(#REF!)=0,#REF!,"Unknown")</f>
        <v>Internship</v>
      </c>
      <c r="R65" s="11" t="str">
        <f>IF(COUNTBLANK(#REF!)=0,#REF!,"Unknown")</f>
        <v>Entertainment</v>
      </c>
      <c r="S65" s="11">
        <f>IF(COUNTBLANK(#REF!)=0,#REF!,0)</f>
        <v>0</v>
      </c>
      <c r="T65" s="11" t="str">
        <f t="shared" si="1"/>
        <v>UPI</v>
      </c>
    </row>
    <row r="66" spans="1:20" x14ac:dyDescent="0.25">
      <c r="A66" s="35" t="s">
        <v>119</v>
      </c>
      <c r="B66" s="36">
        <v>45696</v>
      </c>
      <c r="C66" s="35" t="s">
        <v>222</v>
      </c>
      <c r="D66" s="35" t="s">
        <v>120</v>
      </c>
      <c r="E66" s="35">
        <v>41</v>
      </c>
      <c r="F66" s="35" t="s">
        <v>81</v>
      </c>
      <c r="G66" s="35" t="s">
        <v>32</v>
      </c>
      <c r="H66" s="35">
        <v>128000</v>
      </c>
      <c r="I66" s="35" t="s">
        <v>42</v>
      </c>
      <c r="J66" s="35">
        <v>7600</v>
      </c>
      <c r="K66" s="35" t="s">
        <v>46</v>
      </c>
      <c r="L66" s="35">
        <v>35000</v>
      </c>
      <c r="M66" s="35">
        <v>16000</v>
      </c>
      <c r="N66" s="35">
        <v>792</v>
      </c>
      <c r="O66" s="35" t="s">
        <v>34</v>
      </c>
      <c r="P66" s="11" t="str">
        <f>IF(COUNTBLANK(#REF!)=0,#REF!,"Unknown")</f>
        <v>Ahmedabad</v>
      </c>
      <c r="Q66" s="11" t="str">
        <f>IF(COUNTBLANK(#REF!)=0,#REF!,"Unknown")</f>
        <v>Business</v>
      </c>
      <c r="R66" s="11" t="str">
        <f>IF(COUNTBLANK(#REF!)=0,#REF!,"Unknown")</f>
        <v>Healthcare</v>
      </c>
      <c r="S66" s="11">
        <f>IF(COUNTBLANK(#REF!)=0,#REF!,0)</f>
        <v>16000</v>
      </c>
      <c r="T66" s="11" t="str">
        <f t="shared" si="1"/>
        <v>Cheque</v>
      </c>
    </row>
    <row r="67" spans="1:20" x14ac:dyDescent="0.25">
      <c r="A67" s="35" t="s">
        <v>121</v>
      </c>
      <c r="B67" s="36">
        <v>45697</v>
      </c>
      <c r="C67" s="35" t="s">
        <v>246</v>
      </c>
      <c r="D67" s="35" t="s">
        <v>122</v>
      </c>
      <c r="E67" s="35">
        <v>32</v>
      </c>
      <c r="F67" s="35"/>
      <c r="G67" s="35" t="s">
        <v>4</v>
      </c>
      <c r="H67" s="35">
        <v>71000</v>
      </c>
      <c r="I67" s="35"/>
      <c r="J67" s="35">
        <v>6100</v>
      </c>
      <c r="K67" s="35" t="s">
        <v>23</v>
      </c>
      <c r="L67" s="35">
        <v>11000</v>
      </c>
      <c r="M67" s="35">
        <v>4500</v>
      </c>
      <c r="N67" s="35">
        <v>725</v>
      </c>
      <c r="O67" s="35" t="s">
        <v>24</v>
      </c>
      <c r="P67" s="11" t="str">
        <f>IF(COUNTBLANK(#REF!)=0,#REF!,"Unknown")</f>
        <v>Unknown</v>
      </c>
      <c r="Q67" s="11" t="str">
        <f>IF(COUNTBLANK(#REF!)=0,#REF!,"Unknown")</f>
        <v>Salary</v>
      </c>
      <c r="R67" s="11" t="str">
        <f>IF(COUNTBLANK(#REF!)=0,#REF!,"Unknown")</f>
        <v>Unknown</v>
      </c>
      <c r="S67" s="11">
        <f>IF(COUNTBLANK(#REF!)=0,#REF!,0)</f>
        <v>4500</v>
      </c>
      <c r="T67" s="11" t="str">
        <f t="shared" ref="T67:T100" si="2">IF(COUNTBLANK(K67)=0,K67,"Cash/UPI")</f>
        <v>Card</v>
      </c>
    </row>
    <row r="68" spans="1:20" x14ac:dyDescent="0.25">
      <c r="A68" s="35" t="s">
        <v>123</v>
      </c>
      <c r="B68" s="36">
        <v>45698</v>
      </c>
      <c r="C68" s="35" t="s">
        <v>247</v>
      </c>
      <c r="D68" s="35" t="s">
        <v>16</v>
      </c>
      <c r="E68" s="35">
        <v>29</v>
      </c>
      <c r="F68" s="35" t="s">
        <v>124</v>
      </c>
      <c r="G68" s="35" t="s">
        <v>125</v>
      </c>
      <c r="H68" s="35">
        <v>65000</v>
      </c>
      <c r="I68" s="35" t="s">
        <v>5</v>
      </c>
      <c r="J68" s="35">
        <v>18000</v>
      </c>
      <c r="K68" s="35" t="s">
        <v>1</v>
      </c>
      <c r="L68" s="35">
        <v>9000</v>
      </c>
      <c r="M68" s="35">
        <v>5000</v>
      </c>
      <c r="N68" s="35">
        <v>742</v>
      </c>
      <c r="O68" s="35" t="s">
        <v>18</v>
      </c>
      <c r="P68" s="11" t="str">
        <f>IF(COUNTBLANK(#REF!)=0,#REF!,"Unknown")</f>
        <v>Kolkatta</v>
      </c>
      <c r="Q68" s="11" t="str">
        <f>IF(COUNTBLANK(#REF!)=0,#REF!,"Unknown")</f>
        <v xml:space="preserve"> Salary </v>
      </c>
      <c r="R68" s="11" t="str">
        <f>IF(COUNTBLANK(#REF!)=0,#REF!,"Unknown")</f>
        <v>Rent</v>
      </c>
      <c r="S68" s="11">
        <f>IF(COUNTBLANK(#REF!)=0,#REF!,0)</f>
        <v>5000</v>
      </c>
      <c r="T68" s="11" t="str">
        <f t="shared" si="2"/>
        <v>UPI</v>
      </c>
    </row>
    <row r="69" spans="1:20" x14ac:dyDescent="0.25">
      <c r="A69" s="35" t="s">
        <v>126</v>
      </c>
      <c r="B69" s="36">
        <v>45699</v>
      </c>
      <c r="C69" s="35" t="s">
        <v>248</v>
      </c>
      <c r="D69" s="35" t="s">
        <v>127</v>
      </c>
      <c r="E69" s="35">
        <v>27</v>
      </c>
      <c r="F69" s="35" t="s">
        <v>17</v>
      </c>
      <c r="G69" s="35" t="s">
        <v>22</v>
      </c>
      <c r="H69" s="35">
        <v>53000</v>
      </c>
      <c r="I69" s="35" t="s">
        <v>58</v>
      </c>
      <c r="J69" s="35">
        <v>7900</v>
      </c>
      <c r="K69" s="35" t="s">
        <v>1</v>
      </c>
      <c r="L69" s="35">
        <v>7000</v>
      </c>
      <c r="M69" s="35"/>
      <c r="N69" s="35">
        <v>695</v>
      </c>
      <c r="O69" s="35" t="s">
        <v>28</v>
      </c>
      <c r="P69" s="11" t="str">
        <f>IF(COUNTBLANK(#REF!)=0,#REF!,"Unknown")</f>
        <v>Kolkata</v>
      </c>
      <c r="Q69" s="11" t="str">
        <f>IF(COUNTBLANK(#REF!)=0,#REF!,"Unknown")</f>
        <v>Freelancing</v>
      </c>
      <c r="R69" s="11" t="str">
        <f>IF(COUNTBLANK(#REF!)=0,#REF!,"Unknown")</f>
        <v>Shopping</v>
      </c>
      <c r="S69" s="11">
        <f>IF(COUNTBLANK(#REF!)=0,#REF!,0)</f>
        <v>0</v>
      </c>
      <c r="T69" s="11" t="str">
        <f t="shared" si="2"/>
        <v>UPI</v>
      </c>
    </row>
    <row r="70" spans="1:20" x14ac:dyDescent="0.25">
      <c r="A70" s="35" t="s">
        <v>128</v>
      </c>
      <c r="B70" s="36">
        <v>45700</v>
      </c>
      <c r="C70" s="35" t="s">
        <v>249</v>
      </c>
      <c r="D70" s="35" t="s">
        <v>129</v>
      </c>
      <c r="E70" s="35">
        <v>38</v>
      </c>
      <c r="F70" s="35" t="s">
        <v>37</v>
      </c>
      <c r="G70" s="35" t="s">
        <v>4</v>
      </c>
      <c r="H70" s="35">
        <v>92000</v>
      </c>
      <c r="I70" s="35" t="s">
        <v>54</v>
      </c>
      <c r="J70" s="35">
        <v>10400</v>
      </c>
      <c r="K70" s="35" t="s">
        <v>23</v>
      </c>
      <c r="L70" s="35">
        <v>20000</v>
      </c>
      <c r="M70" s="35">
        <v>12000</v>
      </c>
      <c r="N70" s="35">
        <v>755</v>
      </c>
      <c r="O70" s="35" t="s">
        <v>24</v>
      </c>
      <c r="P70" s="11" t="str">
        <f>IF(COUNTBLANK(#REF!)=0,#REF!,"Unknown")</f>
        <v>Hyderabad</v>
      </c>
      <c r="Q70" s="11" t="str">
        <f>IF(COUNTBLANK(#REF!)=0,#REF!,"Unknown")</f>
        <v>Salary</v>
      </c>
      <c r="R70" s="11" t="str">
        <f>IF(COUNTBLANK(#REF!)=0,#REF!,"Unknown")</f>
        <v>Travel</v>
      </c>
      <c r="S70" s="11">
        <f>IF(COUNTBLANK(#REF!)=0,#REF!,0)</f>
        <v>12000</v>
      </c>
      <c r="T70" s="11" t="str">
        <f t="shared" si="2"/>
        <v>Card</v>
      </c>
    </row>
    <row r="71" spans="1:20" x14ac:dyDescent="0.25">
      <c r="A71" s="35" t="s">
        <v>130</v>
      </c>
      <c r="B71" s="36">
        <v>45701</v>
      </c>
      <c r="C71" s="35" t="s">
        <v>250</v>
      </c>
      <c r="D71" s="35" t="s">
        <v>131</v>
      </c>
      <c r="E71" s="35">
        <v>34</v>
      </c>
      <c r="F71" s="35" t="s">
        <v>45</v>
      </c>
      <c r="G71" s="35" t="s">
        <v>32</v>
      </c>
      <c r="H71" s="35">
        <v>142000</v>
      </c>
      <c r="I71" s="35" t="s">
        <v>9</v>
      </c>
      <c r="J71" s="35">
        <v>36000</v>
      </c>
      <c r="K71" s="35" t="s">
        <v>33</v>
      </c>
      <c r="L71" s="35">
        <v>45000</v>
      </c>
      <c r="M71" s="35">
        <v>20000</v>
      </c>
      <c r="N71" s="35">
        <v>812</v>
      </c>
      <c r="O71" s="35" t="s">
        <v>34</v>
      </c>
      <c r="P71" s="11" t="str">
        <f>IF(COUNTBLANK(#REF!)=0,#REF!,"Unknown")</f>
        <v>Chennai</v>
      </c>
      <c r="Q71" s="11" t="str">
        <f>IF(COUNTBLANK(#REF!)=0,#REF!,"Unknown")</f>
        <v>Business</v>
      </c>
      <c r="R71" s="11" t="str">
        <f>IF(COUNTBLANK(#REF!)=0,#REF!,"Unknown")</f>
        <v>Investment</v>
      </c>
      <c r="S71" s="11">
        <f>IF(COUNTBLANK(#REF!)=0,#REF!,0)</f>
        <v>20000</v>
      </c>
      <c r="T71" s="11" t="str">
        <f t="shared" si="2"/>
        <v>NetBanking</v>
      </c>
    </row>
    <row r="72" spans="1:20" x14ac:dyDescent="0.25">
      <c r="A72" s="35" t="s">
        <v>132</v>
      </c>
      <c r="B72" s="36">
        <v>45702</v>
      </c>
      <c r="C72" s="35" t="s">
        <v>251</v>
      </c>
      <c r="D72" s="35" t="s">
        <v>133</v>
      </c>
      <c r="E72" s="35">
        <v>43</v>
      </c>
      <c r="F72" s="35" t="s">
        <v>84</v>
      </c>
      <c r="G72" s="35" t="s">
        <v>4</v>
      </c>
      <c r="H72" s="35">
        <v>61000</v>
      </c>
      <c r="I72" s="35" t="s">
        <v>7</v>
      </c>
      <c r="J72" s="35">
        <v>5900</v>
      </c>
      <c r="K72" s="35" t="s">
        <v>0</v>
      </c>
      <c r="L72" s="35">
        <v>8000</v>
      </c>
      <c r="M72" s="35">
        <v>7000</v>
      </c>
      <c r="N72" s="35">
        <v>676</v>
      </c>
      <c r="O72" s="35" t="s">
        <v>38</v>
      </c>
      <c r="P72" s="11" t="str">
        <f>IF(COUNTBLANK(#REF!)=0,#REF!,"Unknown")</f>
        <v>Patna</v>
      </c>
      <c r="Q72" s="11" t="str">
        <f>IF(COUNTBLANK(#REF!)=0,#REF!,"Unknown")</f>
        <v>Salary</v>
      </c>
      <c r="R72" s="11" t="str">
        <f>IF(COUNTBLANK(#REF!)=0,#REF!,"Unknown")</f>
        <v>Utilities</v>
      </c>
      <c r="S72" s="11">
        <f>IF(COUNTBLANK(#REF!)=0,#REF!,0)</f>
        <v>7000</v>
      </c>
      <c r="T72" s="11" t="str">
        <f t="shared" si="2"/>
        <v>Cash</v>
      </c>
    </row>
    <row r="73" spans="1:20" x14ac:dyDescent="0.25">
      <c r="A73" s="35" t="s">
        <v>134</v>
      </c>
      <c r="B73" s="36">
        <v>45703</v>
      </c>
      <c r="C73" s="35" t="s">
        <v>252</v>
      </c>
      <c r="D73" s="35" t="s">
        <v>135</v>
      </c>
      <c r="E73" s="35">
        <v>29</v>
      </c>
      <c r="F73" s="35" t="s">
        <v>17</v>
      </c>
      <c r="G73" s="35"/>
      <c r="H73" s="35">
        <v>73000</v>
      </c>
      <c r="I73" s="35" t="s">
        <v>42</v>
      </c>
      <c r="J73" s="35">
        <v>4100</v>
      </c>
      <c r="K73" s="35" t="s">
        <v>1</v>
      </c>
      <c r="L73" s="35">
        <v>15000</v>
      </c>
      <c r="M73" s="35">
        <v>3000</v>
      </c>
      <c r="N73" s="35">
        <v>744</v>
      </c>
      <c r="O73" s="35" t="s">
        <v>24</v>
      </c>
      <c r="P73" s="11" t="str">
        <f>IF(COUNTBLANK(#REF!)=0,#REF!,"Unknown")</f>
        <v>Kolkata</v>
      </c>
      <c r="Q73" s="11" t="str">
        <f>IF(COUNTBLANK(#REF!)=0,#REF!,"Unknown")</f>
        <v>Unknown</v>
      </c>
      <c r="R73" s="11" t="str">
        <f>IF(COUNTBLANK(#REF!)=0,#REF!,"Unknown")</f>
        <v>Healthcare</v>
      </c>
      <c r="S73" s="11">
        <f>IF(COUNTBLANK(#REF!)=0,#REF!,0)</f>
        <v>3000</v>
      </c>
      <c r="T73" s="11" t="str">
        <f t="shared" si="2"/>
        <v>UPI</v>
      </c>
    </row>
    <row r="74" spans="1:20" x14ac:dyDescent="0.25">
      <c r="A74" s="35" t="s">
        <v>136</v>
      </c>
      <c r="B74" s="36">
        <v>45704</v>
      </c>
      <c r="C74" s="35" t="s">
        <v>253</v>
      </c>
      <c r="D74" s="35" t="s">
        <v>137</v>
      </c>
      <c r="E74" s="35">
        <v>37</v>
      </c>
      <c r="F74" s="35" t="s">
        <v>21</v>
      </c>
      <c r="G74" s="35" t="s">
        <v>22</v>
      </c>
      <c r="H74" s="35">
        <v>64000</v>
      </c>
      <c r="I74" s="35" t="s">
        <v>63</v>
      </c>
      <c r="J74" s="35">
        <v>5600</v>
      </c>
      <c r="K74" s="35" t="s">
        <v>23</v>
      </c>
      <c r="L74" s="35">
        <v>12000</v>
      </c>
      <c r="M74" s="35">
        <v>2500</v>
      </c>
      <c r="N74" s="35">
        <v>718</v>
      </c>
      <c r="O74" s="35" t="s">
        <v>18</v>
      </c>
      <c r="P74" s="11" t="str">
        <f>IF(COUNTBLANK(#REF!)=0,#REF!,"Unknown")</f>
        <v>Mumbai</v>
      </c>
      <c r="Q74" s="11" t="str">
        <f>IF(COUNTBLANK(#REF!)=0,#REF!,"Unknown")</f>
        <v>Freelancing</v>
      </c>
      <c r="R74" s="11" t="str">
        <f>IF(COUNTBLANK(#REF!)=0,#REF!,"Unknown")</f>
        <v>Food</v>
      </c>
      <c r="S74" s="11">
        <f>IF(COUNTBLANK(#REF!)=0,#REF!,0)</f>
        <v>2500</v>
      </c>
      <c r="T74" s="11" t="str">
        <f t="shared" si="2"/>
        <v>Card</v>
      </c>
    </row>
    <row r="75" spans="1:20" x14ac:dyDescent="0.25">
      <c r="A75" s="35" t="s">
        <v>138</v>
      </c>
      <c r="B75" s="36">
        <v>45705</v>
      </c>
      <c r="C75" s="35" t="s">
        <v>15</v>
      </c>
      <c r="D75" s="35" t="s">
        <v>139</v>
      </c>
      <c r="E75" s="35">
        <v>26</v>
      </c>
      <c r="F75" s="35" t="s">
        <v>27</v>
      </c>
      <c r="G75" s="35" t="s">
        <v>4</v>
      </c>
      <c r="H75" s="35">
        <v>58000</v>
      </c>
      <c r="I75" s="35" t="s">
        <v>50</v>
      </c>
      <c r="J75" s="35">
        <v>6200</v>
      </c>
      <c r="K75" s="35" t="s">
        <v>1</v>
      </c>
      <c r="L75" s="35">
        <v>9000</v>
      </c>
      <c r="M75" s="35">
        <v>9800</v>
      </c>
      <c r="N75" s="35">
        <v>708</v>
      </c>
      <c r="O75" s="35" t="s">
        <v>18</v>
      </c>
      <c r="P75" s="11" t="str">
        <f>IF(COUNTBLANK(#REF!)=0,#REF!,"Unknown")</f>
        <v>Delhi</v>
      </c>
      <c r="Q75" s="11" t="str">
        <f>IF(COUNTBLANK(#REF!)=0,#REF!,"Unknown")</f>
        <v>Salary</v>
      </c>
      <c r="R75" s="11" t="str">
        <f>IF(COUNTBLANK(#REF!)=0,#REF!,"Unknown")</f>
        <v>Education</v>
      </c>
      <c r="S75" s="11">
        <f>IF(COUNTBLANK(#REF!)=0,#REF!,0)</f>
        <v>9800</v>
      </c>
      <c r="T75" s="11" t="str">
        <f t="shared" si="2"/>
        <v>UPI</v>
      </c>
    </row>
    <row r="76" spans="1:20" x14ac:dyDescent="0.25">
      <c r="A76" s="35" t="s">
        <v>140</v>
      </c>
      <c r="B76" s="36">
        <v>45706</v>
      </c>
      <c r="C76" s="35" t="s">
        <v>105</v>
      </c>
      <c r="D76" s="35" t="s">
        <v>141</v>
      </c>
      <c r="E76" s="35">
        <v>45</v>
      </c>
      <c r="F76" s="35" t="s">
        <v>31</v>
      </c>
      <c r="G76" s="35" t="s">
        <v>32</v>
      </c>
      <c r="H76" s="35">
        <v>155000</v>
      </c>
      <c r="I76" s="35" t="s">
        <v>5</v>
      </c>
      <c r="J76" s="35">
        <v>34000</v>
      </c>
      <c r="K76" s="35"/>
      <c r="L76" s="35">
        <v>50000</v>
      </c>
      <c r="M76" s="35">
        <v>22000</v>
      </c>
      <c r="N76" s="35">
        <v>820</v>
      </c>
      <c r="O76" s="35" t="s">
        <v>34</v>
      </c>
      <c r="P76" s="11" t="str">
        <f>IF(COUNTBLANK(#REF!)=0,#REF!,"Unknown")</f>
        <v>Bangalore</v>
      </c>
      <c r="Q76" s="11" t="str">
        <f>IF(COUNTBLANK(#REF!)=0,#REF!,"Unknown")</f>
        <v>Business</v>
      </c>
      <c r="R76" s="11" t="str">
        <f>IF(COUNTBLANK(#REF!)=0,#REF!,"Unknown")</f>
        <v>Rent</v>
      </c>
      <c r="S76" s="11">
        <f>IF(COUNTBLANK(#REF!)=0,#REF!,0)</f>
        <v>22000</v>
      </c>
      <c r="T76" s="11" t="str">
        <f t="shared" si="2"/>
        <v>Cash/UPI</v>
      </c>
    </row>
    <row r="77" spans="1:20" x14ac:dyDescent="0.25">
      <c r="A77" s="35" t="s">
        <v>142</v>
      </c>
      <c r="B77" s="36">
        <v>45707</v>
      </c>
      <c r="C77" s="35" t="s">
        <v>163</v>
      </c>
      <c r="D77" s="35" t="s">
        <v>143</v>
      </c>
      <c r="E77" s="35">
        <v>30</v>
      </c>
      <c r="F77" s="35" t="s">
        <v>17</v>
      </c>
      <c r="G77" s="35" t="s">
        <v>4</v>
      </c>
      <c r="H77" s="35">
        <v>70000</v>
      </c>
      <c r="I77" s="35" t="s">
        <v>8</v>
      </c>
      <c r="J77" s="35">
        <v>5300</v>
      </c>
      <c r="K77" s="35" t="s">
        <v>23</v>
      </c>
      <c r="L77" s="35">
        <v>13000</v>
      </c>
      <c r="M77" s="35">
        <v>3500</v>
      </c>
      <c r="N77" s="35">
        <v>731</v>
      </c>
      <c r="O77" s="35" t="s">
        <v>24</v>
      </c>
      <c r="P77" s="11" t="str">
        <f>IF(COUNTBLANK(#REF!)=0,#REF!,"Unknown")</f>
        <v>Kolkata</v>
      </c>
      <c r="Q77" s="11" t="str">
        <f>IF(COUNTBLANK(#REF!)=0,#REF!,"Unknown")</f>
        <v>Salary</v>
      </c>
      <c r="R77" s="11" t="str">
        <f>IF(COUNTBLANK(#REF!)=0,#REF!,"Unknown")</f>
        <v>Entertainment</v>
      </c>
      <c r="S77" s="11">
        <f>IF(COUNTBLANK(#REF!)=0,#REF!,0)</f>
        <v>3500</v>
      </c>
      <c r="T77" s="11" t="str">
        <f t="shared" si="2"/>
        <v>Card</v>
      </c>
    </row>
    <row r="78" spans="1:20" x14ac:dyDescent="0.25">
      <c r="A78" s="35" t="s">
        <v>144</v>
      </c>
      <c r="B78" s="36">
        <v>45708</v>
      </c>
      <c r="C78" s="35" t="s">
        <v>222</v>
      </c>
      <c r="D78" s="35" t="s">
        <v>145</v>
      </c>
      <c r="E78" s="35">
        <v>35</v>
      </c>
      <c r="F78" s="35" t="s">
        <v>27</v>
      </c>
      <c r="G78" s="35" t="s">
        <v>4</v>
      </c>
      <c r="H78" s="35">
        <v>84000</v>
      </c>
      <c r="I78" s="35" t="s">
        <v>6</v>
      </c>
      <c r="J78" s="35">
        <v>4800</v>
      </c>
      <c r="K78" s="35" t="s">
        <v>0</v>
      </c>
      <c r="L78" s="35">
        <v>16000</v>
      </c>
      <c r="M78" s="35">
        <v>9000</v>
      </c>
      <c r="N78" s="35">
        <v>726</v>
      </c>
      <c r="O78" s="35" t="s">
        <v>18</v>
      </c>
      <c r="P78" s="11" t="str">
        <f>IF(COUNTBLANK(#REF!)=0,#REF!,"Unknown")</f>
        <v>Delhi</v>
      </c>
      <c r="Q78" s="11" t="str">
        <f>IF(COUNTBLANK(#REF!)=0,#REF!,"Unknown")</f>
        <v>Salary</v>
      </c>
      <c r="R78" s="11" t="str">
        <f>IF(COUNTBLANK(#REF!)=0,#REF!,"Unknown")</f>
        <v>Transport</v>
      </c>
      <c r="S78" s="11">
        <f>IF(COUNTBLANK(#REF!)=0,#REF!,0)</f>
        <v>9000</v>
      </c>
      <c r="T78" s="11" t="str">
        <f t="shared" si="2"/>
        <v>Cash</v>
      </c>
    </row>
    <row r="79" spans="1:20" x14ac:dyDescent="0.25">
      <c r="A79" s="35" t="s">
        <v>146</v>
      </c>
      <c r="B79" s="36">
        <v>45709</v>
      </c>
      <c r="C79" s="35" t="s">
        <v>246</v>
      </c>
      <c r="D79" s="35" t="s">
        <v>147</v>
      </c>
      <c r="E79" s="35">
        <v>28</v>
      </c>
      <c r="F79" s="35"/>
      <c r="G79" s="35" t="s">
        <v>22</v>
      </c>
      <c r="H79" s="35">
        <v>55000</v>
      </c>
      <c r="I79" s="35" t="s">
        <v>58</v>
      </c>
      <c r="J79" s="35">
        <v>8300</v>
      </c>
      <c r="K79" s="35" t="s">
        <v>1</v>
      </c>
      <c r="L79" s="35">
        <v>8500</v>
      </c>
      <c r="M79" s="35"/>
      <c r="N79" s="35">
        <v>699</v>
      </c>
      <c r="O79" s="35" t="s">
        <v>28</v>
      </c>
      <c r="P79" s="11" t="str">
        <f>IF(COUNTBLANK(#REF!)=0,#REF!,"Unknown")</f>
        <v>Unknown</v>
      </c>
      <c r="Q79" s="11" t="str">
        <f>IF(COUNTBLANK(#REF!)=0,#REF!,"Unknown")</f>
        <v>Freelancing</v>
      </c>
      <c r="R79" s="11" t="str">
        <f>IF(COUNTBLANK(#REF!)=0,#REF!,"Unknown")</f>
        <v>Shopping</v>
      </c>
      <c r="S79" s="11">
        <f>IF(COUNTBLANK(#REF!)=0,#REF!,0)</f>
        <v>0</v>
      </c>
      <c r="T79" s="11" t="str">
        <f t="shared" si="2"/>
        <v>UPI</v>
      </c>
    </row>
    <row r="80" spans="1:20" x14ac:dyDescent="0.25">
      <c r="A80" s="35" t="s">
        <v>148</v>
      </c>
      <c r="B80" s="36">
        <v>45710</v>
      </c>
      <c r="C80" s="35" t="s">
        <v>247</v>
      </c>
      <c r="D80" s="35" t="s">
        <v>149</v>
      </c>
      <c r="E80" s="35">
        <v>40</v>
      </c>
      <c r="F80" s="35" t="s">
        <v>81</v>
      </c>
      <c r="G80" s="35" t="s">
        <v>32</v>
      </c>
      <c r="H80" s="35">
        <v>134000</v>
      </c>
      <c r="I80" s="35" t="s">
        <v>9</v>
      </c>
      <c r="J80" s="35">
        <v>31000</v>
      </c>
      <c r="K80" s="35" t="s">
        <v>33</v>
      </c>
      <c r="L80" s="35">
        <v>39000</v>
      </c>
      <c r="M80" s="35">
        <v>17000</v>
      </c>
      <c r="N80" s="35">
        <v>803</v>
      </c>
      <c r="O80" s="35" t="s">
        <v>34</v>
      </c>
      <c r="P80" s="11" t="str">
        <f>IF(COUNTBLANK(#REF!)=0,#REF!,"Unknown")</f>
        <v>Ahmedabad</v>
      </c>
      <c r="Q80" s="11" t="str">
        <f>IF(COUNTBLANK(#REF!)=0,#REF!,"Unknown")</f>
        <v>Business</v>
      </c>
      <c r="R80" s="11" t="str">
        <f>IF(COUNTBLANK(#REF!)=0,#REF!,"Unknown")</f>
        <v>Investment</v>
      </c>
      <c r="S80" s="11">
        <f>IF(COUNTBLANK(#REF!)=0,#REF!,0)</f>
        <v>17000</v>
      </c>
      <c r="T80" s="11" t="str">
        <f t="shared" si="2"/>
        <v>NetBanking</v>
      </c>
    </row>
    <row r="81" spans="1:20" x14ac:dyDescent="0.25">
      <c r="A81" s="35" t="s">
        <v>150</v>
      </c>
      <c r="B81" s="36">
        <v>45711</v>
      </c>
      <c r="C81" s="35" t="s">
        <v>248</v>
      </c>
      <c r="D81" s="35" t="s">
        <v>151</v>
      </c>
      <c r="E81" s="35">
        <v>31</v>
      </c>
      <c r="F81" s="35" t="s">
        <v>21</v>
      </c>
      <c r="G81" s="35" t="s">
        <v>4</v>
      </c>
      <c r="H81" s="35">
        <v>76000</v>
      </c>
      <c r="I81" s="35" t="s">
        <v>2</v>
      </c>
      <c r="J81" s="35">
        <v>6800</v>
      </c>
      <c r="K81" s="35" t="s">
        <v>23</v>
      </c>
      <c r="L81" s="35">
        <v>14000</v>
      </c>
      <c r="M81" s="35">
        <v>4000</v>
      </c>
      <c r="N81" s="35">
        <v>739</v>
      </c>
      <c r="O81" s="35" t="s">
        <v>24</v>
      </c>
      <c r="P81" s="11" t="str">
        <f>IF(COUNTBLANK(#REF!)=0,#REF!,"Unknown")</f>
        <v>Mumbai</v>
      </c>
      <c r="Q81" s="11" t="str">
        <f>IF(COUNTBLANK(#REF!)=0,#REF!,"Unknown")</f>
        <v>Salary</v>
      </c>
      <c r="R81" s="11" t="str">
        <f>IF(COUNTBLANK(#REF!)=0,#REF!,"Unknown")</f>
        <v>Groceries</v>
      </c>
      <c r="S81" s="11">
        <f>IF(COUNTBLANK(#REF!)=0,#REF!,0)</f>
        <v>4000</v>
      </c>
      <c r="T81" s="11" t="str">
        <f t="shared" si="2"/>
        <v>Card</v>
      </c>
    </row>
    <row r="82" spans="1:20" x14ac:dyDescent="0.25">
      <c r="A82" s="35" t="s">
        <v>152</v>
      </c>
      <c r="B82" s="36">
        <v>45712</v>
      </c>
      <c r="C82" s="35" t="s">
        <v>249</v>
      </c>
      <c r="D82" s="35" t="s">
        <v>153</v>
      </c>
      <c r="E82" s="35">
        <v>27</v>
      </c>
      <c r="F82" s="35" t="s">
        <v>17</v>
      </c>
      <c r="G82" s="35" t="s">
        <v>4</v>
      </c>
      <c r="H82" s="35">
        <v>61000</v>
      </c>
      <c r="I82" s="35" t="s">
        <v>5</v>
      </c>
      <c r="J82" s="35">
        <v>17500</v>
      </c>
      <c r="K82" s="35" t="s">
        <v>1</v>
      </c>
      <c r="L82" s="35">
        <v>10000</v>
      </c>
      <c r="M82" s="35">
        <v>3500</v>
      </c>
      <c r="N82" s="35">
        <v>714</v>
      </c>
      <c r="O82" s="35" t="s">
        <v>18</v>
      </c>
      <c r="P82" s="11" t="str">
        <f>IF(COUNTBLANK(#REF!)=0,#REF!,"Unknown")</f>
        <v>Kolkata</v>
      </c>
      <c r="Q82" s="11" t="str">
        <f>IF(COUNTBLANK(#REF!)=0,#REF!,"Unknown")</f>
        <v>Salary</v>
      </c>
      <c r="R82" s="11" t="str">
        <f>IF(COUNTBLANK(#REF!)=0,#REF!,"Unknown")</f>
        <v>Rent</v>
      </c>
      <c r="S82" s="11">
        <f>IF(COUNTBLANK(#REF!)=0,#REF!,0)</f>
        <v>3500</v>
      </c>
      <c r="T82" s="11" t="str">
        <f t="shared" si="2"/>
        <v>UPI</v>
      </c>
    </row>
    <row r="83" spans="1:20" x14ac:dyDescent="0.25">
      <c r="A83" s="35" t="s">
        <v>154</v>
      </c>
      <c r="B83" s="36">
        <v>45713</v>
      </c>
      <c r="C83" s="35" t="s">
        <v>250</v>
      </c>
      <c r="D83" s="35" t="s">
        <v>155</v>
      </c>
      <c r="E83" s="35">
        <v>33</v>
      </c>
      <c r="F83" s="35" t="s">
        <v>27</v>
      </c>
      <c r="G83" s="35" t="s">
        <v>4</v>
      </c>
      <c r="H83" s="35">
        <v>85000</v>
      </c>
      <c r="I83" s="35" t="s">
        <v>42</v>
      </c>
      <c r="J83" s="35">
        <v>5200</v>
      </c>
      <c r="K83" s="35" t="s">
        <v>33</v>
      </c>
      <c r="L83" s="35">
        <v>18000</v>
      </c>
      <c r="M83" s="35">
        <v>8000</v>
      </c>
      <c r="N83" s="35">
        <v>748</v>
      </c>
      <c r="O83" s="35" t="s">
        <v>24</v>
      </c>
      <c r="P83" s="11" t="str">
        <f>IF(COUNTBLANK(#REF!)=0,#REF!,"Unknown")</f>
        <v>Delhi</v>
      </c>
      <c r="Q83" s="11" t="str">
        <f>IF(COUNTBLANK(#REF!)=0,#REF!,"Unknown")</f>
        <v>Salary</v>
      </c>
      <c r="R83" s="11" t="str">
        <f>IF(COUNTBLANK(#REF!)=0,#REF!,"Unknown")</f>
        <v>Healthcare</v>
      </c>
      <c r="S83" s="11">
        <f>IF(COUNTBLANK(#REF!)=0,#REF!,0)</f>
        <v>8000</v>
      </c>
      <c r="T83" s="11" t="str">
        <f t="shared" si="2"/>
        <v>NetBanking</v>
      </c>
    </row>
    <row r="84" spans="1:20" x14ac:dyDescent="0.25">
      <c r="A84" s="35" t="s">
        <v>156</v>
      </c>
      <c r="B84" s="36">
        <v>45714</v>
      </c>
      <c r="C84" s="35" t="s">
        <v>251</v>
      </c>
      <c r="D84" s="35" t="s">
        <v>157</v>
      </c>
      <c r="E84" s="35">
        <v>24</v>
      </c>
      <c r="F84" s="35" t="s">
        <v>17</v>
      </c>
      <c r="G84" s="35" t="s">
        <v>49</v>
      </c>
      <c r="H84" s="35">
        <v>27000</v>
      </c>
      <c r="I84" s="35" t="s">
        <v>63</v>
      </c>
      <c r="J84" s="35">
        <v>3900</v>
      </c>
      <c r="K84" s="35" t="s">
        <v>0</v>
      </c>
      <c r="L84" s="35">
        <v>2500</v>
      </c>
      <c r="M84" s="35"/>
      <c r="N84" s="35">
        <v>671</v>
      </c>
      <c r="O84" s="35" t="s">
        <v>28</v>
      </c>
      <c r="P84" s="11" t="str">
        <f>IF(COUNTBLANK(#REF!)=0,#REF!,"Unknown")</f>
        <v>Kolkata</v>
      </c>
      <c r="Q84" s="11" t="str">
        <f>IF(COUNTBLANK(#REF!)=0,#REF!,"Unknown")</f>
        <v>Internship</v>
      </c>
      <c r="R84" s="11" t="str">
        <f>IF(COUNTBLANK(#REF!)=0,#REF!,"Unknown")</f>
        <v>Food</v>
      </c>
      <c r="S84" s="11">
        <f>IF(COUNTBLANK(#REF!)=0,#REF!,0)</f>
        <v>0</v>
      </c>
      <c r="T84" s="11" t="str">
        <f t="shared" si="2"/>
        <v>Cash</v>
      </c>
    </row>
    <row r="85" spans="1:20" x14ac:dyDescent="0.25">
      <c r="A85" s="35" t="s">
        <v>158</v>
      </c>
      <c r="B85" s="36">
        <v>45715</v>
      </c>
      <c r="C85" s="35" t="s">
        <v>252</v>
      </c>
      <c r="D85" s="35" t="s">
        <v>159</v>
      </c>
      <c r="E85" s="35">
        <v>39</v>
      </c>
      <c r="F85" s="35" t="s">
        <v>76</v>
      </c>
      <c r="G85" s="35"/>
      <c r="H85" s="35">
        <v>126000</v>
      </c>
      <c r="I85" s="35" t="s">
        <v>54</v>
      </c>
      <c r="J85" s="35">
        <v>11200</v>
      </c>
      <c r="K85" s="35" t="s">
        <v>23</v>
      </c>
      <c r="L85" s="35">
        <v>32000</v>
      </c>
      <c r="M85" s="35">
        <v>15000</v>
      </c>
      <c r="N85" s="35">
        <v>791</v>
      </c>
      <c r="O85" s="35" t="s">
        <v>34</v>
      </c>
      <c r="P85" s="11" t="str">
        <f>IF(COUNTBLANK(#REF!)=0,#REF!,"Unknown")</f>
        <v>Chandigarh</v>
      </c>
      <c r="Q85" s="11" t="str">
        <f>IF(COUNTBLANK(#REF!)=0,#REF!,"Unknown")</f>
        <v>Unknown</v>
      </c>
      <c r="R85" s="11" t="str">
        <f>IF(COUNTBLANK(#REF!)=0,#REF!,"Unknown")</f>
        <v>Travel</v>
      </c>
      <c r="S85" s="11">
        <f>IF(COUNTBLANK(#REF!)=0,#REF!,0)</f>
        <v>15000</v>
      </c>
      <c r="T85" s="11" t="str">
        <f t="shared" si="2"/>
        <v>Card</v>
      </c>
    </row>
    <row r="86" spans="1:20" x14ac:dyDescent="0.25">
      <c r="A86" s="35" t="s">
        <v>160</v>
      </c>
      <c r="B86" s="36">
        <v>45716</v>
      </c>
      <c r="C86" s="35" t="s">
        <v>253</v>
      </c>
      <c r="D86" s="35" t="s">
        <v>161</v>
      </c>
      <c r="E86" s="35">
        <v>29</v>
      </c>
      <c r="F86" s="35" t="s">
        <v>57</v>
      </c>
      <c r="G86" s="35" t="s">
        <v>4</v>
      </c>
      <c r="H86" s="35">
        <v>68000</v>
      </c>
      <c r="I86" s="35" t="s">
        <v>58</v>
      </c>
      <c r="J86" s="35">
        <v>7200</v>
      </c>
      <c r="K86" s="35" t="s">
        <v>1</v>
      </c>
      <c r="L86" s="35">
        <v>12000</v>
      </c>
      <c r="M86" s="35">
        <v>2500</v>
      </c>
      <c r="N86" s="35">
        <v>733</v>
      </c>
      <c r="O86" s="35" t="s">
        <v>24</v>
      </c>
      <c r="P86" s="11" t="str">
        <f>IF(COUNTBLANK(#REF!)=0,#REF!,"Unknown")</f>
        <v>Jaipur</v>
      </c>
      <c r="Q86" s="11" t="str">
        <f>IF(COUNTBLANK(#REF!)=0,#REF!,"Unknown")</f>
        <v>Salary</v>
      </c>
      <c r="R86" s="11" t="str">
        <f>IF(COUNTBLANK(#REF!)=0,#REF!,"Unknown")</f>
        <v>Shopping</v>
      </c>
      <c r="S86" s="11">
        <f>IF(COUNTBLANK(#REF!)=0,#REF!,0)</f>
        <v>2500</v>
      </c>
      <c r="T86" s="11" t="str">
        <f t="shared" si="2"/>
        <v>UPI</v>
      </c>
    </row>
    <row r="87" spans="1:20" x14ac:dyDescent="0.25">
      <c r="A87" s="35" t="s">
        <v>162</v>
      </c>
      <c r="B87" s="36">
        <v>45717</v>
      </c>
      <c r="C87" s="35" t="s">
        <v>15</v>
      </c>
      <c r="D87" s="35" t="s">
        <v>164</v>
      </c>
      <c r="E87" s="35">
        <v>36</v>
      </c>
      <c r="F87" s="35" t="s">
        <v>17</v>
      </c>
      <c r="G87" s="35" t="s">
        <v>4</v>
      </c>
      <c r="H87" s="35">
        <v>79000</v>
      </c>
      <c r="I87" s="35" t="s">
        <v>7</v>
      </c>
      <c r="J87" s="35">
        <v>6100</v>
      </c>
      <c r="K87" s="35" t="s">
        <v>23</v>
      </c>
      <c r="L87" s="35">
        <v>17000</v>
      </c>
      <c r="M87" s="35">
        <v>6500</v>
      </c>
      <c r="N87" s="35">
        <v>742</v>
      </c>
      <c r="O87" s="35" t="s">
        <v>24</v>
      </c>
      <c r="P87" s="11" t="str">
        <f>IF(COUNTBLANK(#REF!)=0,#REF!,"Unknown")</f>
        <v>Kolkata</v>
      </c>
      <c r="Q87" s="11" t="str">
        <f>IF(COUNTBLANK(#REF!)=0,#REF!,"Unknown")</f>
        <v>Salary</v>
      </c>
      <c r="R87" s="11" t="str">
        <f>IF(COUNTBLANK(#REF!)=0,#REF!,"Unknown")</f>
        <v>Utilities</v>
      </c>
      <c r="S87" s="11">
        <f>IF(COUNTBLANK(#REF!)=0,#REF!,0)</f>
        <v>6500</v>
      </c>
      <c r="T87" s="11" t="str">
        <f t="shared" si="2"/>
        <v>Card</v>
      </c>
    </row>
    <row r="88" spans="1:20" x14ac:dyDescent="0.25">
      <c r="A88" s="35" t="s">
        <v>165</v>
      </c>
      <c r="B88" s="36">
        <v>45718</v>
      </c>
      <c r="C88" s="35" t="s">
        <v>105</v>
      </c>
      <c r="D88" s="35" t="s">
        <v>166</v>
      </c>
      <c r="E88" s="35">
        <v>25</v>
      </c>
      <c r="F88" s="35" t="s">
        <v>41</v>
      </c>
      <c r="G88" s="35" t="s">
        <v>22</v>
      </c>
      <c r="H88" s="35">
        <v>49000</v>
      </c>
      <c r="I88" s="35" t="s">
        <v>8</v>
      </c>
      <c r="J88" s="35">
        <v>4700</v>
      </c>
      <c r="K88" s="35"/>
      <c r="L88" s="35">
        <v>6000</v>
      </c>
      <c r="M88" s="35">
        <v>8000</v>
      </c>
      <c r="N88" s="35">
        <v>687</v>
      </c>
      <c r="O88" s="35" t="s">
        <v>28</v>
      </c>
      <c r="P88" s="11" t="str">
        <f>IF(COUNTBLANK(#REF!)=0,#REF!,"Unknown")</f>
        <v>Pune</v>
      </c>
      <c r="Q88" s="11" t="str">
        <f>IF(COUNTBLANK(#REF!)=0,#REF!,"Unknown")</f>
        <v>Freelancing</v>
      </c>
      <c r="R88" s="11" t="str">
        <f>IF(COUNTBLANK(#REF!)=0,#REF!,"Unknown")</f>
        <v>Entertainment</v>
      </c>
      <c r="S88" s="11">
        <f>IF(COUNTBLANK(#REF!)=0,#REF!,0)</f>
        <v>8000</v>
      </c>
      <c r="T88" s="11" t="str">
        <f t="shared" si="2"/>
        <v>Cash/UPI</v>
      </c>
    </row>
    <row r="89" spans="1:20" x14ac:dyDescent="0.25">
      <c r="A89" s="35" t="s">
        <v>167</v>
      </c>
      <c r="B89" s="36">
        <v>45719</v>
      </c>
      <c r="C89" s="35" t="s">
        <v>163</v>
      </c>
      <c r="D89" s="35" t="s">
        <v>168</v>
      </c>
      <c r="E89" s="35">
        <v>42</v>
      </c>
      <c r="F89" s="35" t="s">
        <v>84</v>
      </c>
      <c r="G89" s="35" t="s">
        <v>32</v>
      </c>
      <c r="H89" s="35">
        <v>146000</v>
      </c>
      <c r="I89" s="35" t="s">
        <v>9</v>
      </c>
      <c r="J89" s="35">
        <v>39000</v>
      </c>
      <c r="K89" s="35" t="s">
        <v>46</v>
      </c>
      <c r="L89" s="35">
        <v>47000</v>
      </c>
      <c r="M89" s="35">
        <v>21000</v>
      </c>
      <c r="N89" s="35">
        <v>809</v>
      </c>
      <c r="O89" s="35" t="s">
        <v>34</v>
      </c>
      <c r="P89" s="11" t="str">
        <f>IF(COUNTBLANK(#REF!)=0,#REF!,"Unknown")</f>
        <v>Patna</v>
      </c>
      <c r="Q89" s="11" t="str">
        <f>IF(COUNTBLANK(#REF!)=0,#REF!,"Unknown")</f>
        <v>Business</v>
      </c>
      <c r="R89" s="11" t="str">
        <f>IF(COUNTBLANK(#REF!)=0,#REF!,"Unknown")</f>
        <v>Investment</v>
      </c>
      <c r="S89" s="11">
        <f>IF(COUNTBLANK(#REF!)=0,#REF!,0)</f>
        <v>21000</v>
      </c>
      <c r="T89" s="11" t="str">
        <f t="shared" si="2"/>
        <v>Cheque</v>
      </c>
    </row>
    <row r="90" spans="1:20" x14ac:dyDescent="0.25">
      <c r="A90" s="35" t="s">
        <v>169</v>
      </c>
      <c r="B90" s="36">
        <v>45720</v>
      </c>
      <c r="C90" s="35" t="s">
        <v>222</v>
      </c>
      <c r="D90" s="35" t="s">
        <v>170</v>
      </c>
      <c r="E90" s="35">
        <v>31</v>
      </c>
      <c r="F90" s="35" t="s">
        <v>17</v>
      </c>
      <c r="G90" s="35" t="s">
        <v>4</v>
      </c>
      <c r="H90" s="35">
        <v>71000</v>
      </c>
      <c r="I90" s="35" t="s">
        <v>42</v>
      </c>
      <c r="J90" s="35">
        <v>4500</v>
      </c>
      <c r="K90" s="35" t="s">
        <v>1</v>
      </c>
      <c r="L90" s="35">
        <v>14000</v>
      </c>
      <c r="M90" s="35">
        <v>3500</v>
      </c>
      <c r="N90" s="35">
        <v>737</v>
      </c>
      <c r="O90" s="35" t="s">
        <v>24</v>
      </c>
      <c r="P90" s="11" t="str">
        <f>IF(COUNTBLANK(#REF!)=0,#REF!,"Unknown")</f>
        <v>Kolkata</v>
      </c>
      <c r="Q90" s="11" t="str">
        <f>IF(COUNTBLANK(#REF!)=0,#REF!,"Unknown")</f>
        <v>Salary</v>
      </c>
      <c r="R90" s="11" t="str">
        <f>IF(COUNTBLANK(#REF!)=0,#REF!,"Unknown")</f>
        <v>Healthcare</v>
      </c>
      <c r="S90" s="11">
        <f>IF(COUNTBLANK(#REF!)=0,#REF!,0)</f>
        <v>3500</v>
      </c>
      <c r="T90" s="11" t="str">
        <f t="shared" si="2"/>
        <v>UPI</v>
      </c>
    </row>
    <row r="91" spans="1:20" x14ac:dyDescent="0.25">
      <c r="A91" s="35" t="s">
        <v>171</v>
      </c>
      <c r="B91" s="36">
        <v>45721</v>
      </c>
      <c r="C91" s="35" t="s">
        <v>246</v>
      </c>
      <c r="D91" s="35" t="s">
        <v>172</v>
      </c>
      <c r="E91" s="35">
        <v>28</v>
      </c>
      <c r="F91" s="35"/>
      <c r="G91" s="35" t="s">
        <v>4</v>
      </c>
      <c r="H91" s="35">
        <v>64000</v>
      </c>
      <c r="I91" s="35" t="s">
        <v>6</v>
      </c>
      <c r="J91" s="35">
        <v>5100</v>
      </c>
      <c r="K91" s="35" t="s">
        <v>0</v>
      </c>
      <c r="L91" s="35">
        <v>11000</v>
      </c>
      <c r="M91" s="35">
        <v>4000</v>
      </c>
      <c r="N91" s="35">
        <v>716</v>
      </c>
      <c r="O91" s="35" t="s">
        <v>18</v>
      </c>
      <c r="P91" s="11" t="str">
        <f>IF(COUNTBLANK(#REF!)=0,#REF!,"Unknown")</f>
        <v>Unknown</v>
      </c>
      <c r="Q91" s="11" t="str">
        <f>IF(COUNTBLANK(#REF!)=0,#REF!,"Unknown")</f>
        <v>Salary</v>
      </c>
      <c r="R91" s="11" t="str">
        <f>IF(COUNTBLANK(#REF!)=0,#REF!,"Unknown")</f>
        <v>Transport</v>
      </c>
      <c r="S91" s="11">
        <f>IF(COUNTBLANK(#REF!)=0,#REF!,0)</f>
        <v>4000</v>
      </c>
      <c r="T91" s="11" t="str">
        <f t="shared" si="2"/>
        <v>Cash</v>
      </c>
    </row>
    <row r="92" spans="1:20" x14ac:dyDescent="0.25">
      <c r="A92" s="35" t="s">
        <v>173</v>
      </c>
      <c r="B92" s="36">
        <v>45722</v>
      </c>
      <c r="C92" s="35" t="s">
        <v>247</v>
      </c>
      <c r="D92" s="35" t="s">
        <v>174</v>
      </c>
      <c r="E92" s="35">
        <v>27</v>
      </c>
      <c r="F92" s="35" t="s">
        <v>17</v>
      </c>
      <c r="G92" s="35" t="s">
        <v>22</v>
      </c>
      <c r="H92" s="35">
        <v>54000</v>
      </c>
      <c r="I92" s="35" t="s">
        <v>63</v>
      </c>
      <c r="J92" s="35">
        <v>5900</v>
      </c>
      <c r="K92" s="35" t="s">
        <v>23</v>
      </c>
      <c r="L92" s="35">
        <v>7000</v>
      </c>
      <c r="M92" s="35"/>
      <c r="N92" s="35">
        <v>697</v>
      </c>
      <c r="O92" s="35" t="s">
        <v>28</v>
      </c>
      <c r="P92" s="11" t="str">
        <f>IF(COUNTBLANK(#REF!)=0,#REF!,"Unknown")</f>
        <v>Kolkata</v>
      </c>
      <c r="Q92" s="11" t="str">
        <f>IF(COUNTBLANK(#REF!)=0,#REF!,"Unknown")</f>
        <v>Freelancing</v>
      </c>
      <c r="R92" s="11" t="str">
        <f>IF(COUNTBLANK(#REF!)=0,#REF!,"Unknown")</f>
        <v>Food</v>
      </c>
      <c r="S92" s="11">
        <f>IF(COUNTBLANK(#REF!)=0,#REF!,0)</f>
        <v>0</v>
      </c>
      <c r="T92" s="11" t="str">
        <f t="shared" si="2"/>
        <v>Card</v>
      </c>
    </row>
    <row r="93" spans="1:20" x14ac:dyDescent="0.25">
      <c r="A93" s="35" t="s">
        <v>175</v>
      </c>
      <c r="B93" s="36">
        <v>45723</v>
      </c>
      <c r="C93" s="35" t="s">
        <v>248</v>
      </c>
      <c r="D93" s="35" t="s">
        <v>176</v>
      </c>
      <c r="E93" s="35">
        <v>44</v>
      </c>
      <c r="F93" s="35" t="s">
        <v>21</v>
      </c>
      <c r="G93" s="35" t="s">
        <v>32</v>
      </c>
      <c r="H93" s="35">
        <v>152000</v>
      </c>
      <c r="I93" s="35" t="s">
        <v>5</v>
      </c>
      <c r="J93" s="35">
        <v>36000</v>
      </c>
      <c r="K93" s="35" t="s">
        <v>33</v>
      </c>
      <c r="L93" s="35">
        <v>52000</v>
      </c>
      <c r="M93" s="35">
        <v>24000</v>
      </c>
      <c r="N93" s="35">
        <v>818</v>
      </c>
      <c r="O93" s="35" t="s">
        <v>34</v>
      </c>
      <c r="P93" s="11" t="str">
        <f>IF(COUNTBLANK(#REF!)=0,#REF!,"Unknown")</f>
        <v>Mumbai</v>
      </c>
      <c r="Q93" s="11" t="str">
        <f>IF(COUNTBLANK(#REF!)=0,#REF!,"Unknown")</f>
        <v>Business</v>
      </c>
      <c r="R93" s="11" t="str">
        <f>IF(COUNTBLANK(#REF!)=0,#REF!,"Unknown")</f>
        <v>Rent</v>
      </c>
      <c r="S93" s="11">
        <f>IF(COUNTBLANK(#REF!)=0,#REF!,0)</f>
        <v>24000</v>
      </c>
      <c r="T93" s="11" t="str">
        <f t="shared" si="2"/>
        <v>NetBanking</v>
      </c>
    </row>
    <row r="94" spans="1:20" x14ac:dyDescent="0.25">
      <c r="A94" s="35" t="s">
        <v>177</v>
      </c>
      <c r="B94" s="36">
        <v>45724</v>
      </c>
      <c r="C94" s="35" t="s">
        <v>249</v>
      </c>
      <c r="D94" s="35" t="s">
        <v>178</v>
      </c>
      <c r="E94" s="35">
        <v>30</v>
      </c>
      <c r="F94" s="35" t="s">
        <v>27</v>
      </c>
      <c r="G94" s="35"/>
      <c r="H94" s="35">
        <v>73000</v>
      </c>
      <c r="I94" s="35" t="s">
        <v>58</v>
      </c>
      <c r="J94" s="35">
        <v>8400</v>
      </c>
      <c r="K94" s="35" t="s">
        <v>1</v>
      </c>
      <c r="L94" s="35">
        <v>13000</v>
      </c>
      <c r="M94" s="35">
        <v>5000</v>
      </c>
      <c r="N94" s="35">
        <v>729</v>
      </c>
      <c r="O94" s="35" t="s">
        <v>24</v>
      </c>
      <c r="P94" s="11" t="str">
        <f>IF(COUNTBLANK(#REF!)=0,#REF!,"Unknown")</f>
        <v>Delhi</v>
      </c>
      <c r="Q94" s="11" t="str">
        <f>IF(COUNTBLANK(#REF!)=0,#REF!,"Unknown")</f>
        <v>Unknown</v>
      </c>
      <c r="R94" s="11" t="str">
        <f>IF(COUNTBLANK(#REF!)=0,#REF!,"Unknown")</f>
        <v>Shopping</v>
      </c>
      <c r="S94" s="11">
        <f>IF(COUNTBLANK(#REF!)=0,#REF!,0)</f>
        <v>5000</v>
      </c>
      <c r="T94" s="11" t="str">
        <f t="shared" si="2"/>
        <v>UPI</v>
      </c>
    </row>
    <row r="95" spans="1:20" x14ac:dyDescent="0.25">
      <c r="A95" s="35" t="s">
        <v>179</v>
      </c>
      <c r="B95" s="36">
        <v>45725</v>
      </c>
      <c r="C95" s="35" t="s">
        <v>250</v>
      </c>
      <c r="D95" s="35" t="s">
        <v>180</v>
      </c>
      <c r="E95" s="35">
        <v>35</v>
      </c>
      <c r="F95" s="35" t="s">
        <v>17</v>
      </c>
      <c r="G95" s="35" t="s">
        <v>4</v>
      </c>
      <c r="H95" s="35">
        <v>82000</v>
      </c>
      <c r="I95" s="35" t="s">
        <v>54</v>
      </c>
      <c r="J95" s="35">
        <v>9800</v>
      </c>
      <c r="K95" s="35" t="s">
        <v>23</v>
      </c>
      <c r="L95" s="35">
        <v>19000</v>
      </c>
      <c r="M95" s="35">
        <v>9000</v>
      </c>
      <c r="N95" s="35">
        <v>745</v>
      </c>
      <c r="O95" s="35" t="s">
        <v>24</v>
      </c>
      <c r="P95" s="11" t="str">
        <f>IF(COUNTBLANK(#REF!)=0,#REF!,"Unknown")</f>
        <v>Kolkata</v>
      </c>
      <c r="Q95" s="11" t="str">
        <f>IF(COUNTBLANK(#REF!)=0,#REF!,"Unknown")</f>
        <v>Salary</v>
      </c>
      <c r="R95" s="11" t="str">
        <f>IF(COUNTBLANK(#REF!)=0,#REF!,"Unknown")</f>
        <v>Travel</v>
      </c>
      <c r="S95" s="11">
        <f>IF(COUNTBLANK(#REF!)=0,#REF!,0)</f>
        <v>9000</v>
      </c>
      <c r="T95" s="11" t="str">
        <f t="shared" si="2"/>
        <v>Card</v>
      </c>
    </row>
    <row r="96" spans="1:20" x14ac:dyDescent="0.25">
      <c r="A96" s="35" t="s">
        <v>181</v>
      </c>
      <c r="B96" s="36">
        <v>45726</v>
      </c>
      <c r="C96" s="35" t="s">
        <v>251</v>
      </c>
      <c r="D96" s="35" t="s">
        <v>182</v>
      </c>
      <c r="E96" s="35">
        <v>26</v>
      </c>
      <c r="F96" s="35" t="s">
        <v>53</v>
      </c>
      <c r="G96" s="35" t="s">
        <v>22</v>
      </c>
      <c r="H96" s="35">
        <v>51000</v>
      </c>
      <c r="I96" s="35"/>
      <c r="J96" s="35">
        <v>4300</v>
      </c>
      <c r="K96" s="35" t="s">
        <v>1</v>
      </c>
      <c r="L96" s="35">
        <v>6500</v>
      </c>
      <c r="M96" s="35">
        <v>7000</v>
      </c>
      <c r="N96" s="35">
        <v>692</v>
      </c>
      <c r="O96" s="35" t="s">
        <v>28</v>
      </c>
      <c r="P96" s="11" t="str">
        <f>IF(COUNTBLANK(#REF!)=0,#REF!,"Unknown")</f>
        <v>Kochi</v>
      </c>
      <c r="Q96" s="11" t="str">
        <f>IF(COUNTBLANK(#REF!)=0,#REF!,"Unknown")</f>
        <v>Freelancing</v>
      </c>
      <c r="R96" s="11" t="str">
        <f>IF(COUNTBLANK(#REF!)=0,#REF!,"Unknown")</f>
        <v>Unknown</v>
      </c>
      <c r="S96" s="11">
        <f>IF(COUNTBLANK(#REF!)=0,#REF!,0)</f>
        <v>7000</v>
      </c>
      <c r="T96" s="11" t="str">
        <f t="shared" si="2"/>
        <v>UPI</v>
      </c>
    </row>
    <row r="97" spans="1:20" x14ac:dyDescent="0.25">
      <c r="A97" s="35" t="s">
        <v>183</v>
      </c>
      <c r="B97" s="36">
        <v>45727</v>
      </c>
      <c r="C97" s="35" t="s">
        <v>252</v>
      </c>
      <c r="D97" s="35" t="s">
        <v>184</v>
      </c>
      <c r="E97" s="35">
        <v>41</v>
      </c>
      <c r="F97" s="35" t="s">
        <v>81</v>
      </c>
      <c r="G97" s="35" t="s">
        <v>32</v>
      </c>
      <c r="H97" s="35">
        <v>129000</v>
      </c>
      <c r="I97" s="35" t="s">
        <v>9</v>
      </c>
      <c r="J97" s="35">
        <v>30000</v>
      </c>
      <c r="K97" s="35" t="s">
        <v>46</v>
      </c>
      <c r="L97" s="35">
        <v>36000</v>
      </c>
      <c r="M97" s="35">
        <v>16000</v>
      </c>
      <c r="N97" s="35">
        <v>796</v>
      </c>
      <c r="O97" s="35" t="s">
        <v>34</v>
      </c>
      <c r="P97" s="11" t="str">
        <f>IF(COUNTBLANK(#REF!)=0,#REF!,"Unknown")</f>
        <v>Ahmedabad</v>
      </c>
      <c r="Q97" s="11" t="str">
        <f>IF(COUNTBLANK(#REF!)=0,#REF!,"Unknown")</f>
        <v>Business</v>
      </c>
      <c r="R97" s="11" t="str">
        <f>IF(COUNTBLANK(#REF!)=0,#REF!,"Unknown")</f>
        <v>Investment</v>
      </c>
      <c r="S97" s="11">
        <f>IF(COUNTBLANK(#REF!)=0,#REF!,0)</f>
        <v>16000</v>
      </c>
      <c r="T97" s="11" t="str">
        <f t="shared" si="2"/>
        <v>Cheque</v>
      </c>
    </row>
    <row r="98" spans="1:20" x14ac:dyDescent="0.25">
      <c r="A98" s="35" t="s">
        <v>185</v>
      </c>
      <c r="B98" s="36">
        <v>45728</v>
      </c>
      <c r="C98" s="35" t="s">
        <v>253</v>
      </c>
      <c r="D98" s="35" t="s">
        <v>186</v>
      </c>
      <c r="E98" s="35">
        <v>32</v>
      </c>
      <c r="F98" s="35" t="s">
        <v>17</v>
      </c>
      <c r="G98" s="35" t="s">
        <v>4</v>
      </c>
      <c r="H98" s="35">
        <v>69000</v>
      </c>
      <c r="I98" s="35" t="s">
        <v>2</v>
      </c>
      <c r="J98" s="35">
        <v>6700</v>
      </c>
      <c r="K98" s="35" t="s">
        <v>23</v>
      </c>
      <c r="L98" s="35">
        <v>12500</v>
      </c>
      <c r="M98" s="35">
        <v>3000</v>
      </c>
      <c r="N98" s="35">
        <v>734</v>
      </c>
      <c r="O98" s="35" t="s">
        <v>24</v>
      </c>
      <c r="P98" s="11" t="str">
        <f>IF(COUNTBLANK(#REF!)=0,#REF!,"Unknown")</f>
        <v>Kolkata</v>
      </c>
      <c r="Q98" s="11" t="str">
        <f>IF(COUNTBLANK(#REF!)=0,#REF!,"Unknown")</f>
        <v>Salary</v>
      </c>
      <c r="R98" s="11" t="str">
        <f>IF(COUNTBLANK(#REF!)=0,#REF!,"Unknown")</f>
        <v>Groceries</v>
      </c>
      <c r="S98" s="11">
        <f>IF(COUNTBLANK(#REF!)=0,#REF!,0)</f>
        <v>3000</v>
      </c>
      <c r="T98" s="11" t="str">
        <f t="shared" si="2"/>
        <v>Card</v>
      </c>
    </row>
    <row r="99" spans="1:20" x14ac:dyDescent="0.25">
      <c r="A99" s="35" t="s">
        <v>187</v>
      </c>
      <c r="B99" s="36">
        <v>45729</v>
      </c>
      <c r="C99" s="35" t="s">
        <v>15</v>
      </c>
      <c r="D99" s="35" t="s">
        <v>188</v>
      </c>
      <c r="E99" s="35">
        <v>29</v>
      </c>
      <c r="F99" s="35" t="s">
        <v>27</v>
      </c>
      <c r="G99" s="35" t="s">
        <v>4</v>
      </c>
      <c r="H99" s="35">
        <v>66000</v>
      </c>
      <c r="I99" s="35" t="s">
        <v>5</v>
      </c>
      <c r="J99" s="35">
        <v>20000</v>
      </c>
      <c r="K99" s="35" t="s">
        <v>1</v>
      </c>
      <c r="L99" s="35">
        <v>9000</v>
      </c>
      <c r="M99" s="35">
        <v>4500</v>
      </c>
      <c r="N99" s="35">
        <v>710</v>
      </c>
      <c r="O99" s="35" t="s">
        <v>18</v>
      </c>
      <c r="P99" s="11" t="str">
        <f>IF(COUNTBLANK(#REF!)=0,#REF!,"Unknown")</f>
        <v>Delhi</v>
      </c>
      <c r="Q99" s="11" t="str">
        <f>IF(COUNTBLANK(#REF!)=0,#REF!,"Unknown")</f>
        <v>Salary</v>
      </c>
      <c r="R99" s="11" t="str">
        <f>IF(COUNTBLANK(#REF!)=0,#REF!,"Unknown")</f>
        <v>Rent</v>
      </c>
      <c r="S99" s="11">
        <f>IF(COUNTBLANK(#REF!)=0,#REF!,0)</f>
        <v>4500</v>
      </c>
      <c r="T99" s="11" t="str">
        <f t="shared" si="2"/>
        <v>UPI</v>
      </c>
    </row>
    <row r="100" spans="1:20" x14ac:dyDescent="0.25">
      <c r="A100" s="35" t="s">
        <v>189</v>
      </c>
      <c r="B100" s="36">
        <v>45730</v>
      </c>
      <c r="C100" s="35" t="s">
        <v>105</v>
      </c>
      <c r="D100" s="35" t="s">
        <v>190</v>
      </c>
      <c r="E100" s="35">
        <v>24</v>
      </c>
      <c r="F100" s="35"/>
      <c r="G100" s="35"/>
      <c r="H100" s="35">
        <v>32000</v>
      </c>
      <c r="I100" s="35"/>
      <c r="J100" s="35">
        <v>3900</v>
      </c>
      <c r="K100" s="35"/>
      <c r="L100" s="35">
        <v>3500</v>
      </c>
      <c r="M100" s="35"/>
      <c r="N100" s="35">
        <v>678</v>
      </c>
      <c r="O100" s="35" t="s">
        <v>28</v>
      </c>
      <c r="P100" s="11" t="str">
        <f>IF(COUNTBLANK(#REF!)=0,#REF!,"Unknown")</f>
        <v>Unknown</v>
      </c>
      <c r="Q100" s="11" t="str">
        <f>IF(COUNTBLANK(#REF!)=0,#REF!,"Unknown")</f>
        <v>Unknown</v>
      </c>
      <c r="R100" s="11" t="str">
        <f>IF(COUNTBLANK(#REF!)=0,#REF!,"Unknown")</f>
        <v>Unknown</v>
      </c>
      <c r="S100" s="11">
        <f>IF(COUNTBLANK(#REF!)=0,#REF!,0)</f>
        <v>0</v>
      </c>
      <c r="T100" s="11" t="str">
        <f t="shared" si="2"/>
        <v>Cash/UPI</v>
      </c>
    </row>
  </sheetData>
  <mergeCells count="1">
    <mergeCell ref="A1:T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
  <sheetViews>
    <sheetView workbookViewId="0">
      <selection activeCell="G17" sqref="G17"/>
    </sheetView>
  </sheetViews>
  <sheetFormatPr defaultRowHeight="15" x14ac:dyDescent="0.25"/>
  <cols>
    <col min="1" max="1" width="9.28515625" bestFit="1" customWidth="1"/>
    <col min="3" max="3" width="10" bestFit="1" customWidth="1"/>
    <col min="4" max="4" width="15.140625" bestFit="1" customWidth="1"/>
    <col min="6" max="6" width="11.140625" bestFit="1" customWidth="1"/>
    <col min="7" max="7" width="16.28515625" bestFit="1" customWidth="1"/>
    <col min="8" max="8" width="16.5703125" bestFit="1" customWidth="1"/>
    <col min="9" max="9" width="19.7109375" bestFit="1" customWidth="1"/>
    <col min="10" max="10" width="17.42578125" bestFit="1" customWidth="1"/>
    <col min="11" max="11" width="17.28515625" bestFit="1" customWidth="1"/>
    <col min="13" max="13" width="11.85546875" bestFit="1" customWidth="1"/>
    <col min="14" max="14" width="12.85546875" bestFit="1" customWidth="1"/>
    <col min="15" max="15" width="15.7109375" bestFit="1" customWidth="1"/>
  </cols>
  <sheetData>
    <row r="1" spans="1:15" ht="25.5" x14ac:dyDescent="0.35">
      <c r="A1" s="75" t="s">
        <v>348</v>
      </c>
      <c r="B1" s="75"/>
      <c r="C1" s="75"/>
      <c r="D1" s="75"/>
      <c r="E1" s="75"/>
      <c r="F1" s="75"/>
      <c r="G1" s="75"/>
      <c r="H1" s="75"/>
      <c r="I1" s="75"/>
      <c r="J1" s="75"/>
      <c r="K1" s="75"/>
      <c r="L1" s="75"/>
      <c r="M1" s="75"/>
      <c r="N1" s="75"/>
      <c r="O1" s="75"/>
    </row>
    <row r="2" spans="1:15" x14ac:dyDescent="0.25">
      <c r="A2" s="21" t="s">
        <v>244</v>
      </c>
      <c r="B2" s="20" t="s">
        <v>3</v>
      </c>
      <c r="C2" s="20" t="s">
        <v>10</v>
      </c>
      <c r="D2" s="20" t="s">
        <v>267</v>
      </c>
      <c r="E2" s="20" t="s">
        <v>11</v>
      </c>
      <c r="F2" s="20" t="s">
        <v>12</v>
      </c>
      <c r="G2" s="20" t="s">
        <v>268</v>
      </c>
      <c r="H2" s="20" t="s">
        <v>259</v>
      </c>
      <c r="I2" s="20" t="s">
        <v>261</v>
      </c>
      <c r="J2" s="20" t="s">
        <v>270</v>
      </c>
      <c r="K2" s="20" t="s">
        <v>269</v>
      </c>
      <c r="L2" s="20" t="s">
        <v>13</v>
      </c>
      <c r="M2" s="20" t="s">
        <v>264</v>
      </c>
      <c r="N2" s="20" t="s">
        <v>273</v>
      </c>
      <c r="O2" s="20" t="s">
        <v>274</v>
      </c>
    </row>
    <row r="3" spans="1:15" x14ac:dyDescent="0.25">
      <c r="A3" s="35" t="s">
        <v>14</v>
      </c>
      <c r="B3" s="36">
        <v>45659</v>
      </c>
      <c r="C3" s="35" t="s">
        <v>15</v>
      </c>
      <c r="D3" s="35" t="s">
        <v>16</v>
      </c>
      <c r="E3" s="35">
        <v>29</v>
      </c>
      <c r="F3" s="35" t="str">
        <f>IF(COUNTBLANK(#REF!)=0,#REF!,"Unknown")</f>
        <v>Kolkata</v>
      </c>
      <c r="G3" s="35" t="str">
        <f>IF(COUNTBLANK(#REF!)=0,#REF!,"Unknown")</f>
        <v>Salary</v>
      </c>
      <c r="H3" s="35">
        <v>65000</v>
      </c>
      <c r="I3" s="35" t="str">
        <f>IF(COUNTBLANK(#REF!)=0,#REF!,"Unknown")</f>
        <v>Rent</v>
      </c>
      <c r="J3" s="35">
        <v>18000</v>
      </c>
      <c r="K3" s="35" t="s">
        <v>1</v>
      </c>
      <c r="L3" s="35">
        <v>12000</v>
      </c>
      <c r="M3" s="35">
        <f>IF(COUNTBLANK(#REF!)=0,#REF!,0)</f>
        <v>5000</v>
      </c>
      <c r="N3" s="35">
        <v>742</v>
      </c>
      <c r="O3" s="35" t="s">
        <v>18</v>
      </c>
    </row>
    <row r="4" spans="1:15" x14ac:dyDescent="0.25">
      <c r="A4" s="35" t="s">
        <v>19</v>
      </c>
      <c r="B4" s="36">
        <v>45660</v>
      </c>
      <c r="C4" s="35" t="s">
        <v>105</v>
      </c>
      <c r="D4" s="35" t="s">
        <v>20</v>
      </c>
      <c r="E4" s="35">
        <v>34</v>
      </c>
      <c r="F4" s="35" t="str">
        <f>IF(COUNTBLANK(#REF!)=0,#REF!,"Unknown")</f>
        <v>Mumbai</v>
      </c>
      <c r="G4" s="35" t="str">
        <f>IF(COUNTBLANK(#REF!)=0,#REF!,"Unknown")</f>
        <v>Freelancing</v>
      </c>
      <c r="H4" s="35">
        <v>72000</v>
      </c>
      <c r="I4" s="35" t="str">
        <f>IF(COUNTBLANK(#REF!)=0,#REF!,"Unknown")</f>
        <v>Groceries</v>
      </c>
      <c r="J4" s="35">
        <v>6500</v>
      </c>
      <c r="K4" s="35" t="s">
        <v>23</v>
      </c>
      <c r="L4" s="35">
        <v>15000</v>
      </c>
      <c r="M4" s="35">
        <f>IF(COUNTBLANK(#REF!)=0,#REF!,0)</f>
        <v>0</v>
      </c>
      <c r="N4" s="35">
        <v>788</v>
      </c>
      <c r="O4" s="35" t="s">
        <v>24</v>
      </c>
    </row>
    <row r="5" spans="1:15" x14ac:dyDescent="0.25">
      <c r="A5" s="35" t="s">
        <v>25</v>
      </c>
      <c r="B5" s="36">
        <v>45661</v>
      </c>
      <c r="C5" s="35" t="s">
        <v>163</v>
      </c>
      <c r="D5" s="35" t="s">
        <v>26</v>
      </c>
      <c r="E5" s="35">
        <v>26</v>
      </c>
      <c r="F5" s="35" t="str">
        <f>IF(COUNTBLANK(#REF!)=0,#REF!,"Unknown")</f>
        <v>Unknown</v>
      </c>
      <c r="G5" s="35" t="str">
        <f>IF(COUNTBLANK(#REF!)=0,#REF!,"Unknown")</f>
        <v>Salary</v>
      </c>
      <c r="H5" s="35">
        <v>54000</v>
      </c>
      <c r="I5" s="35" t="str">
        <f>IF(COUNTBLANK(#REF!)=0,#REF!,"Unknown")</f>
        <v>Unknown</v>
      </c>
      <c r="J5" s="35">
        <v>3200</v>
      </c>
      <c r="K5" s="35" t="s">
        <v>0</v>
      </c>
      <c r="L5" s="35">
        <v>8000</v>
      </c>
      <c r="M5" s="35">
        <f>IF(COUNTBLANK(#REF!)=0,#REF!,0)</f>
        <v>2500</v>
      </c>
      <c r="N5" s="35">
        <v>689</v>
      </c>
      <c r="O5" s="35" t="s">
        <v>28</v>
      </c>
    </row>
    <row r="6" spans="1:15" x14ac:dyDescent="0.25">
      <c r="A6" s="35" t="s">
        <v>29</v>
      </c>
      <c r="B6" s="36">
        <v>45662</v>
      </c>
      <c r="C6" s="35" t="s">
        <v>222</v>
      </c>
      <c r="D6" s="35" t="s">
        <v>30</v>
      </c>
      <c r="E6" s="35">
        <v>31</v>
      </c>
      <c r="F6" s="35" t="str">
        <f>IF(COUNTBLANK(#REF!)=0,#REF!,"Unknown")</f>
        <v>Bangalore</v>
      </c>
      <c r="G6" s="35" t="str">
        <f>IF(COUNTBLANK(#REF!)=0,#REF!,"Unknown")</f>
        <v>Business</v>
      </c>
      <c r="H6" s="35">
        <v>98000</v>
      </c>
      <c r="I6" s="35" t="str">
        <f>IF(COUNTBLANK(#REF!)=0,#REF!,"Unknown")</f>
        <v>Utilities</v>
      </c>
      <c r="J6" s="35">
        <v>5400</v>
      </c>
      <c r="K6" s="35" t="s">
        <v>33</v>
      </c>
      <c r="L6" s="35">
        <v>25000</v>
      </c>
      <c r="M6" s="35">
        <f>IF(COUNTBLANK(#REF!)=0,#REF!,0)</f>
        <v>8000</v>
      </c>
      <c r="N6" s="35">
        <v>801</v>
      </c>
      <c r="O6" s="35" t="s">
        <v>34</v>
      </c>
    </row>
    <row r="7" spans="1:15" x14ac:dyDescent="0.25">
      <c r="A7" s="35" t="s">
        <v>35</v>
      </c>
      <c r="B7" s="36">
        <v>45663</v>
      </c>
      <c r="C7" s="35" t="s">
        <v>246</v>
      </c>
      <c r="D7" s="35" t="s">
        <v>36</v>
      </c>
      <c r="E7" s="35">
        <v>38</v>
      </c>
      <c r="F7" s="35" t="str">
        <f>IF(COUNTBLANK(#REF!)=0,#REF!,"Unknown")</f>
        <v>Hyderabad</v>
      </c>
      <c r="G7" s="35" t="str">
        <f>IF(COUNTBLANK(#REF!)=0,#REF!,"Unknown")</f>
        <v>Salary</v>
      </c>
      <c r="H7" s="35">
        <v>85000</v>
      </c>
      <c r="I7" s="35" t="str">
        <f>IF(COUNTBLANK(#REF!)=0,#REF!,"Unknown")</f>
        <v>Entertainment</v>
      </c>
      <c r="J7" s="35">
        <v>7600</v>
      </c>
      <c r="K7" s="35" t="s">
        <v>23</v>
      </c>
      <c r="L7" s="35">
        <v>10000</v>
      </c>
      <c r="M7" s="35">
        <f>IF(COUNTBLANK(#REF!)=0,#REF!,0)</f>
        <v>12000</v>
      </c>
      <c r="N7" s="35">
        <v>655</v>
      </c>
      <c r="O7" s="35" t="s">
        <v>38</v>
      </c>
    </row>
    <row r="8" spans="1:15" x14ac:dyDescent="0.25">
      <c r="A8" s="35" t="s">
        <v>39</v>
      </c>
      <c r="B8" s="36">
        <v>45664</v>
      </c>
      <c r="C8" s="35" t="s">
        <v>247</v>
      </c>
      <c r="D8" s="35" t="s">
        <v>40</v>
      </c>
      <c r="E8" s="35">
        <v>27</v>
      </c>
      <c r="F8" s="35" t="str">
        <f>IF(COUNTBLANK(#REF!)=0,#REF!,"Unknown")</f>
        <v>Pune</v>
      </c>
      <c r="G8" s="35" t="str">
        <f>IF(COUNTBLANK(#REF!)=0,#REF!,"Unknown")</f>
        <v>Salary</v>
      </c>
      <c r="H8" s="35">
        <v>61000</v>
      </c>
      <c r="I8" s="35" t="str">
        <f>IF(COUNTBLANK(#REF!)=0,#REF!,"Unknown")</f>
        <v>Healthcare</v>
      </c>
      <c r="J8" s="35">
        <v>2400</v>
      </c>
      <c r="K8" s="35" t="s">
        <v>1</v>
      </c>
      <c r="L8" s="35">
        <v>17000</v>
      </c>
      <c r="M8" s="35">
        <f>IF(COUNTBLANK(#REF!)=0,#REF!,0)</f>
        <v>0</v>
      </c>
      <c r="N8" s="35">
        <v>771</v>
      </c>
      <c r="O8" s="35" t="s">
        <v>24</v>
      </c>
    </row>
    <row r="9" spans="1:15" x14ac:dyDescent="0.25">
      <c r="A9" s="35" t="s">
        <v>43</v>
      </c>
      <c r="B9" s="36">
        <v>45665</v>
      </c>
      <c r="C9" s="35" t="s">
        <v>248</v>
      </c>
      <c r="D9" s="35" t="s">
        <v>44</v>
      </c>
      <c r="E9" s="35">
        <v>42</v>
      </c>
      <c r="F9" s="35" t="str">
        <f>IF(COUNTBLANK(#REF!)=0,#REF!,"Unknown")</f>
        <v>Chennai</v>
      </c>
      <c r="G9" s="35" t="str">
        <f>IF(COUNTBLANK(#REF!)=0,#REF!,"Unknown")</f>
        <v>Business</v>
      </c>
      <c r="H9" s="35">
        <v>120000</v>
      </c>
      <c r="I9" s="35" t="str">
        <f>IF(COUNTBLANK(#REF!)=0,#REF!,"Unknown")</f>
        <v>Rent</v>
      </c>
      <c r="J9" s="35">
        <v>25000</v>
      </c>
      <c r="K9" s="35" t="s">
        <v>46</v>
      </c>
      <c r="L9" s="35">
        <v>35000</v>
      </c>
      <c r="M9" s="35">
        <f>IF(COUNTBLANK(#REF!)=0,#REF!,0)</f>
        <v>18000</v>
      </c>
      <c r="N9" s="35">
        <v>720</v>
      </c>
      <c r="O9" s="35" t="s">
        <v>18</v>
      </c>
    </row>
    <row r="10" spans="1:15" x14ac:dyDescent="0.25">
      <c r="A10" s="35" t="s">
        <v>47</v>
      </c>
      <c r="B10" s="36">
        <v>45666</v>
      </c>
      <c r="C10" s="35" t="s">
        <v>249</v>
      </c>
      <c r="D10" s="35" t="s">
        <v>48</v>
      </c>
      <c r="E10" s="35">
        <v>24</v>
      </c>
      <c r="F10" s="35" t="str">
        <f>IF(COUNTBLANK(#REF!)=0,#REF!,"Unknown")</f>
        <v>Kolkata</v>
      </c>
      <c r="G10" s="35" t="str">
        <f>IF(COUNTBLANK(#REF!)=0,#REF!,"Unknown")</f>
        <v>Internship</v>
      </c>
      <c r="H10" s="35">
        <v>28000</v>
      </c>
      <c r="I10" s="35" t="str">
        <f>IF(COUNTBLANK(#REF!)=0,#REF!,"Unknown")</f>
        <v>Education</v>
      </c>
      <c r="J10" s="35">
        <v>4500</v>
      </c>
      <c r="K10" s="35" t="s">
        <v>1</v>
      </c>
      <c r="L10" s="35">
        <v>5000</v>
      </c>
      <c r="M10" s="35">
        <f>IF(COUNTBLANK(#REF!)=0,#REF!,0)</f>
        <v>0</v>
      </c>
      <c r="N10" s="35">
        <v>690</v>
      </c>
      <c r="O10" s="35" t="s">
        <v>28</v>
      </c>
    </row>
    <row r="11" spans="1:15" x14ac:dyDescent="0.25">
      <c r="A11" s="35" t="s">
        <v>51</v>
      </c>
      <c r="B11" s="36">
        <v>45667</v>
      </c>
      <c r="C11" s="35" t="s">
        <v>250</v>
      </c>
      <c r="D11" s="35" t="s">
        <v>52</v>
      </c>
      <c r="E11" s="35">
        <v>36</v>
      </c>
      <c r="F11" s="35" t="str">
        <f>IF(COUNTBLANK(#REF!)=0,#REF!,"Unknown")</f>
        <v>Kochi</v>
      </c>
      <c r="G11" s="35" t="str">
        <f>IF(COUNTBLANK(#REF!)=0,#REF!,"Unknown")</f>
        <v>Salary</v>
      </c>
      <c r="H11" s="35">
        <v>76000</v>
      </c>
      <c r="I11" s="35" t="str">
        <f>IF(COUNTBLANK(#REF!)=0,#REF!,"Unknown")</f>
        <v>Unknown</v>
      </c>
      <c r="J11" s="35">
        <v>8200</v>
      </c>
      <c r="K11" s="35" t="s">
        <v>23</v>
      </c>
      <c r="L11" s="35">
        <v>14000</v>
      </c>
      <c r="M11" s="35">
        <f>IF(COUNTBLANK(#REF!)=0,#REF!,0)</f>
        <v>7000</v>
      </c>
      <c r="N11" s="35">
        <v>745</v>
      </c>
      <c r="O11" s="35" t="s">
        <v>18</v>
      </c>
    </row>
    <row r="12" spans="1:15" x14ac:dyDescent="0.25">
      <c r="A12" s="35" t="s">
        <v>55</v>
      </c>
      <c r="B12" s="36">
        <v>45668</v>
      </c>
      <c r="C12" s="35" t="s">
        <v>251</v>
      </c>
      <c r="D12" s="35" t="s">
        <v>56</v>
      </c>
      <c r="E12" s="35">
        <v>30</v>
      </c>
      <c r="F12" s="35" t="str">
        <f>IF(COUNTBLANK(#REF!)=0,#REF!,"Unknown")</f>
        <v>Jaipur</v>
      </c>
      <c r="G12" s="35" t="str">
        <f>IF(COUNTBLANK(#REF!)=0,#REF!,"Unknown")</f>
        <v>Freelancing</v>
      </c>
      <c r="H12" s="35">
        <v>68000</v>
      </c>
      <c r="I12" s="35" t="str">
        <f>IF(COUNTBLANK(#REF!)=0,#REF!,"Unknown")</f>
        <v>Shopping</v>
      </c>
      <c r="J12" s="35">
        <v>9200</v>
      </c>
      <c r="K12" s="35" t="s">
        <v>1</v>
      </c>
      <c r="L12" s="35">
        <v>11000</v>
      </c>
      <c r="M12" s="35">
        <f>IF(COUNTBLANK(#REF!)=0,#REF!,0)</f>
        <v>3000</v>
      </c>
      <c r="N12" s="35">
        <v>732</v>
      </c>
      <c r="O12" s="35" t="s">
        <v>24</v>
      </c>
    </row>
    <row r="13" spans="1:15" x14ac:dyDescent="0.25">
      <c r="A13" s="35" t="s">
        <v>59</v>
      </c>
      <c r="B13" s="36">
        <v>45669</v>
      </c>
      <c r="C13" s="35" t="s">
        <v>252</v>
      </c>
      <c r="D13" s="35" t="s">
        <v>60</v>
      </c>
      <c r="E13" s="35">
        <v>45</v>
      </c>
      <c r="F13" s="35" t="str">
        <f>IF(COUNTBLANK(#REF!)=0,#REF!,"Unknown")</f>
        <v>Kolkata</v>
      </c>
      <c r="G13" s="35" t="str">
        <f>IF(COUNTBLANK(#REF!)=0,#REF!,"Unknown")</f>
        <v>Business</v>
      </c>
      <c r="H13" s="35">
        <v>150000</v>
      </c>
      <c r="I13" s="35" t="str">
        <f>IF(COUNTBLANK(#REF!)=0,#REF!,"Unknown")</f>
        <v>Investment</v>
      </c>
      <c r="J13" s="35">
        <v>35000</v>
      </c>
      <c r="K13" s="35" t="s">
        <v>33</v>
      </c>
      <c r="L13" s="35">
        <v>40000</v>
      </c>
      <c r="M13" s="35">
        <f>IF(COUNTBLANK(#REF!)=0,#REF!,0)</f>
        <v>20000</v>
      </c>
      <c r="N13" s="35">
        <v>810</v>
      </c>
      <c r="O13" s="35" t="s">
        <v>34</v>
      </c>
    </row>
    <row r="14" spans="1:15" x14ac:dyDescent="0.25">
      <c r="A14" s="35" t="s">
        <v>61</v>
      </c>
      <c r="B14" s="36">
        <v>45670</v>
      </c>
      <c r="C14" s="35" t="s">
        <v>253</v>
      </c>
      <c r="D14" s="35" t="s">
        <v>62</v>
      </c>
      <c r="E14" s="35">
        <v>28</v>
      </c>
      <c r="F14" s="35" t="str">
        <f>IF(COUNTBLANK(#REF!)=0,#REF!,"Unknown")</f>
        <v>Delhi</v>
      </c>
      <c r="G14" s="35" t="str">
        <f>IF(COUNTBLANK(#REF!)=0,#REF!,"Unknown")</f>
        <v>Unknown</v>
      </c>
      <c r="H14" s="35">
        <v>59000</v>
      </c>
      <c r="I14" s="35" t="str">
        <f>IF(COUNTBLANK(#REF!)=0,#REF!,"Unknown")</f>
        <v>Food</v>
      </c>
      <c r="J14" s="35">
        <v>5800</v>
      </c>
      <c r="K14" s="35" t="s">
        <v>287</v>
      </c>
      <c r="L14" s="35">
        <v>9000</v>
      </c>
      <c r="M14" s="35">
        <f>IF(COUNTBLANK(#REF!)=0,#REF!,0)</f>
        <v>2500</v>
      </c>
      <c r="N14" s="35">
        <v>704</v>
      </c>
      <c r="O14" s="35" t="s">
        <v>18</v>
      </c>
    </row>
    <row r="15" spans="1:15" x14ac:dyDescent="0.25">
      <c r="A15" s="35" t="s">
        <v>64</v>
      </c>
      <c r="B15" s="36">
        <v>45671</v>
      </c>
      <c r="C15" s="35" t="s">
        <v>15</v>
      </c>
      <c r="D15" s="35" t="s">
        <v>65</v>
      </c>
      <c r="E15" s="35">
        <v>33</v>
      </c>
      <c r="F15" s="35" t="str">
        <f>IF(COUNTBLANK(#REF!)=0,#REF!,"Unknown")</f>
        <v>Unknown</v>
      </c>
      <c r="G15" s="35" t="str">
        <f>IF(COUNTBLANK(#REF!)=0,#REF!,"Unknown")</f>
        <v>Salary</v>
      </c>
      <c r="H15" s="35">
        <v>71000</v>
      </c>
      <c r="I15" s="35" t="str">
        <f>IF(COUNTBLANK(#REF!)=0,#REF!,"Unknown")</f>
        <v>Rent</v>
      </c>
      <c r="J15" s="35">
        <v>21000</v>
      </c>
      <c r="K15" s="35" t="s">
        <v>1</v>
      </c>
      <c r="L15" s="35">
        <v>13000</v>
      </c>
      <c r="M15" s="35">
        <f>IF(COUNTBLANK(#REF!)=0,#REF!,0)</f>
        <v>6000</v>
      </c>
      <c r="N15" s="35">
        <v>740</v>
      </c>
      <c r="O15" s="35" t="s">
        <v>24</v>
      </c>
    </row>
    <row r="16" spans="1:15" x14ac:dyDescent="0.25">
      <c r="A16" s="35" t="s">
        <v>66</v>
      </c>
      <c r="B16" s="36">
        <v>45672</v>
      </c>
      <c r="C16" s="35" t="s">
        <v>105</v>
      </c>
      <c r="D16" s="35" t="s">
        <v>67</v>
      </c>
      <c r="E16" s="35">
        <v>25</v>
      </c>
      <c r="F16" s="35" t="str">
        <f>IF(COUNTBLANK(#REF!)=0,#REF!,"Unknown")</f>
        <v>Pune</v>
      </c>
      <c r="G16" s="35" t="str">
        <f>IF(COUNTBLANK(#REF!)=0,#REF!,"Unknown")</f>
        <v>Freelancing</v>
      </c>
      <c r="H16" s="35">
        <v>47000</v>
      </c>
      <c r="I16" s="35" t="str">
        <f>IF(COUNTBLANK(#REF!)=0,#REF!,"Unknown")</f>
        <v>Entertainment</v>
      </c>
      <c r="J16" s="35">
        <v>4200</v>
      </c>
      <c r="K16" s="35" t="s">
        <v>23</v>
      </c>
      <c r="L16" s="35">
        <v>7000</v>
      </c>
      <c r="M16" s="35">
        <f>IF(COUNTBLANK(#REF!)=0,#REF!,0)</f>
        <v>0</v>
      </c>
      <c r="N16" s="35">
        <v>681</v>
      </c>
      <c r="O16" s="35" t="s">
        <v>28</v>
      </c>
    </row>
    <row r="17" spans="1:15" x14ac:dyDescent="0.25">
      <c r="A17" s="35" t="s">
        <v>68</v>
      </c>
      <c r="B17" s="36">
        <v>45673</v>
      </c>
      <c r="C17" s="35" t="s">
        <v>163</v>
      </c>
      <c r="D17" s="35" t="s">
        <v>69</v>
      </c>
      <c r="E17" s="35">
        <v>39</v>
      </c>
      <c r="F17" s="35" t="str">
        <f>IF(COUNTBLANK(#REF!)=0,#REF!,"Unknown")</f>
        <v>Bangalore</v>
      </c>
      <c r="G17" s="35" t="str">
        <f>IF(COUNTBLANK(#REF!)=0,#REF!,"Unknown")</f>
        <v>Business</v>
      </c>
      <c r="H17" s="35">
        <v>132000</v>
      </c>
      <c r="I17" s="35" t="str">
        <f>IF(COUNTBLANK(#REF!)=0,#REF!,"Unknown")</f>
        <v>Healthcare</v>
      </c>
      <c r="J17" s="35">
        <v>6800</v>
      </c>
      <c r="K17" s="35" t="s">
        <v>33</v>
      </c>
      <c r="L17" s="35">
        <v>30000</v>
      </c>
      <c r="M17" s="35">
        <f>IF(COUNTBLANK(#REF!)=0,#REF!,0)</f>
        <v>15000</v>
      </c>
      <c r="N17" s="35">
        <v>790</v>
      </c>
      <c r="O17" s="35" t="s">
        <v>34</v>
      </c>
    </row>
    <row r="18" spans="1:15" x14ac:dyDescent="0.25">
      <c r="A18" s="35" t="s">
        <v>70</v>
      </c>
      <c r="B18" s="36">
        <v>45674</v>
      </c>
      <c r="C18" s="35" t="s">
        <v>222</v>
      </c>
      <c r="D18" s="35" t="s">
        <v>71</v>
      </c>
      <c r="E18" s="35">
        <v>29</v>
      </c>
      <c r="F18" s="35" t="str">
        <f>IF(COUNTBLANK(#REF!)=0,#REF!,"Unknown")</f>
        <v>Delhi</v>
      </c>
      <c r="G18" s="35" t="str">
        <f>IF(COUNTBLANK(#REF!)=0,#REF!,"Unknown")</f>
        <v>Salary</v>
      </c>
      <c r="H18" s="35">
        <v>62000</v>
      </c>
      <c r="I18" s="35" t="str">
        <f>IF(COUNTBLANK(#REF!)=0,#REF!,"Unknown")</f>
        <v>Groceries</v>
      </c>
      <c r="J18" s="35">
        <v>5900</v>
      </c>
      <c r="K18" s="35" t="s">
        <v>1</v>
      </c>
      <c r="L18" s="35">
        <v>12000</v>
      </c>
      <c r="M18" s="35">
        <f>IF(COUNTBLANK(#REF!)=0,#REF!,0)</f>
        <v>3000</v>
      </c>
      <c r="N18" s="35">
        <v>725</v>
      </c>
      <c r="O18" s="35" t="s">
        <v>24</v>
      </c>
    </row>
    <row r="19" spans="1:15" x14ac:dyDescent="0.25">
      <c r="A19" s="35" t="s">
        <v>72</v>
      </c>
      <c r="B19" s="36">
        <v>45675</v>
      </c>
      <c r="C19" s="35" t="s">
        <v>246</v>
      </c>
      <c r="D19" s="35" t="s">
        <v>73</v>
      </c>
      <c r="E19" s="35">
        <v>35</v>
      </c>
      <c r="F19" s="35" t="str">
        <f>IF(COUNTBLANK(#REF!)=0,#REF!,"Unknown")</f>
        <v>Mumbai</v>
      </c>
      <c r="G19" s="35" t="str">
        <f>IF(COUNTBLANK(#REF!)=0,#REF!,"Unknown")</f>
        <v>Salary</v>
      </c>
      <c r="H19" s="35">
        <v>81000</v>
      </c>
      <c r="I19" s="35" t="str">
        <f>IF(COUNTBLANK(#REF!)=0,#REF!,"Unknown")</f>
        <v>Transport</v>
      </c>
      <c r="J19" s="35">
        <v>4100</v>
      </c>
      <c r="K19" s="35" t="s">
        <v>0</v>
      </c>
      <c r="L19" s="35">
        <v>16000</v>
      </c>
      <c r="M19" s="35">
        <f>IF(COUNTBLANK(#REF!)=0,#REF!,0)</f>
        <v>9000</v>
      </c>
      <c r="N19" s="35">
        <v>710</v>
      </c>
      <c r="O19" s="35" t="s">
        <v>18</v>
      </c>
    </row>
    <row r="20" spans="1:15" x14ac:dyDescent="0.25">
      <c r="A20" s="35" t="s">
        <v>74</v>
      </c>
      <c r="B20" s="36">
        <v>45676</v>
      </c>
      <c r="C20" s="35" t="s">
        <v>247</v>
      </c>
      <c r="D20" s="35" t="s">
        <v>75</v>
      </c>
      <c r="E20" s="35">
        <v>27</v>
      </c>
      <c r="F20" s="35" t="str">
        <f>IF(COUNTBLANK(#REF!)=0,#REF!,"Unknown")</f>
        <v>Chandigarh</v>
      </c>
      <c r="G20" s="35" t="str">
        <f>IF(COUNTBLANK(#REF!)=0,#REF!,"Unknown")</f>
        <v>Freelancing</v>
      </c>
      <c r="H20" s="35">
        <v>56000</v>
      </c>
      <c r="I20" s="35" t="str">
        <f>IF(COUNTBLANK(#REF!)=0,#REF!,"Unknown")</f>
        <v>Unknown</v>
      </c>
      <c r="J20" s="35">
        <v>9700</v>
      </c>
      <c r="K20" s="35" t="s">
        <v>23</v>
      </c>
      <c r="L20" s="35">
        <v>8500</v>
      </c>
      <c r="M20" s="35">
        <f>IF(COUNTBLANK(#REF!)=0,#REF!,0)</f>
        <v>0</v>
      </c>
      <c r="N20" s="35">
        <v>699</v>
      </c>
      <c r="O20" s="35" t="s">
        <v>28</v>
      </c>
    </row>
    <row r="21" spans="1:15" x14ac:dyDescent="0.25">
      <c r="A21" s="35" t="s">
        <v>77</v>
      </c>
      <c r="B21" s="36">
        <v>45677</v>
      </c>
      <c r="C21" s="35" t="s">
        <v>248</v>
      </c>
      <c r="D21" s="35" t="s">
        <v>78</v>
      </c>
      <c r="E21" s="35">
        <v>41</v>
      </c>
      <c r="F21" s="35" t="str">
        <f>IF(COUNTBLANK(#REF!)=0,#REF!,"Unknown")</f>
        <v>Delhi</v>
      </c>
      <c r="G21" s="35" t="str">
        <f>IF(COUNTBLANK(#REF!)=0,#REF!,"Unknown")</f>
        <v>Business</v>
      </c>
      <c r="H21" s="35">
        <v>145000</v>
      </c>
      <c r="I21" s="35" t="str">
        <f>IF(COUNTBLANK(#REF!)=0,#REF!,"Unknown")</f>
        <v>Utilities</v>
      </c>
      <c r="J21" s="35">
        <v>7800</v>
      </c>
      <c r="K21" s="35" t="s">
        <v>46</v>
      </c>
      <c r="L21" s="35">
        <v>42000</v>
      </c>
      <c r="M21" s="35">
        <f>IF(COUNTBLANK(#REF!)=0,#REF!,0)</f>
        <v>25000</v>
      </c>
      <c r="N21" s="35">
        <v>805</v>
      </c>
      <c r="O21" s="35" t="s">
        <v>34</v>
      </c>
    </row>
    <row r="22" spans="1:15" x14ac:dyDescent="0.25">
      <c r="A22" s="35" t="s">
        <v>79</v>
      </c>
      <c r="B22" s="36">
        <v>45678</v>
      </c>
      <c r="C22" s="35" t="s">
        <v>249</v>
      </c>
      <c r="D22" s="35" t="s">
        <v>80</v>
      </c>
      <c r="E22" s="35">
        <v>32</v>
      </c>
      <c r="F22" s="35" t="str">
        <f>IF(COUNTBLANK(#REF!)=0,#REF!,"Unknown")</f>
        <v>Ahmedabad</v>
      </c>
      <c r="G22" s="35" t="str">
        <f>IF(COUNTBLANK(#REF!)=0,#REF!,"Unknown")</f>
        <v>Salary</v>
      </c>
      <c r="H22" s="35">
        <v>69000</v>
      </c>
      <c r="I22" s="35" t="str">
        <f>IF(COUNTBLANK(#REF!)=0,#REF!,"Unknown")</f>
        <v>Food</v>
      </c>
      <c r="J22" s="35">
        <v>6300</v>
      </c>
      <c r="K22" s="35" t="s">
        <v>1</v>
      </c>
      <c r="L22" s="35">
        <v>10000</v>
      </c>
      <c r="M22" s="35">
        <f>IF(COUNTBLANK(#REF!)=0,#REF!,0)</f>
        <v>4500</v>
      </c>
      <c r="N22" s="35">
        <v>730</v>
      </c>
      <c r="O22" s="35" t="s">
        <v>24</v>
      </c>
    </row>
    <row r="23" spans="1:15" x14ac:dyDescent="0.25">
      <c r="A23" s="35" t="s">
        <v>82</v>
      </c>
      <c r="B23" s="36">
        <v>45679</v>
      </c>
      <c r="C23" s="35" t="s">
        <v>250</v>
      </c>
      <c r="D23" s="35" t="s">
        <v>83</v>
      </c>
      <c r="E23" s="35">
        <v>37</v>
      </c>
      <c r="F23" s="35" t="str">
        <f>IF(COUNTBLANK(#REF!)=0,#REF!,"Unknown")</f>
        <v>Patna</v>
      </c>
      <c r="G23" s="35" t="str">
        <f>IF(COUNTBLANK(#REF!)=0,#REF!,"Unknown")</f>
        <v>Salary</v>
      </c>
      <c r="H23" s="35">
        <v>57000</v>
      </c>
      <c r="I23" s="35" t="str">
        <f>IF(COUNTBLANK(#REF!)=0,#REF!,"Unknown")</f>
        <v>Rent</v>
      </c>
      <c r="J23" s="35">
        <v>16000</v>
      </c>
      <c r="K23" s="35" t="s">
        <v>0</v>
      </c>
      <c r="L23" s="35">
        <v>6000</v>
      </c>
      <c r="M23" s="35">
        <f>IF(COUNTBLANK(#REF!)=0,#REF!,0)</f>
        <v>5500</v>
      </c>
      <c r="N23" s="35">
        <v>670</v>
      </c>
      <c r="O23" s="35" t="s">
        <v>38</v>
      </c>
    </row>
    <row r="24" spans="1:15" x14ac:dyDescent="0.25">
      <c r="A24" s="35" t="s">
        <v>85</v>
      </c>
      <c r="B24" s="36">
        <v>45680</v>
      </c>
      <c r="C24" s="35" t="s">
        <v>251</v>
      </c>
      <c r="D24" s="35" t="s">
        <v>86</v>
      </c>
      <c r="E24" s="35">
        <v>26</v>
      </c>
      <c r="F24" s="35" t="str">
        <f>IF(COUNTBLANK(#REF!)=0,#REF!,"Unknown")</f>
        <v>Surat</v>
      </c>
      <c r="G24" s="35" t="str">
        <f>IF(COUNTBLANK(#REF!)=0,#REF!,"Unknown")</f>
        <v>Freelancing</v>
      </c>
      <c r="H24" s="35">
        <v>52000</v>
      </c>
      <c r="I24" s="35" t="str">
        <f>IF(COUNTBLANK(#REF!)=0,#REF!,"Unknown")</f>
        <v>Shopping</v>
      </c>
      <c r="J24" s="35">
        <v>7600</v>
      </c>
      <c r="K24" s="35" t="s">
        <v>23</v>
      </c>
      <c r="L24" s="35">
        <v>9000</v>
      </c>
      <c r="M24" s="35">
        <f>IF(COUNTBLANK(#REF!)=0,#REF!,0)</f>
        <v>0</v>
      </c>
      <c r="N24" s="35">
        <v>715</v>
      </c>
      <c r="O24" s="35" t="s">
        <v>18</v>
      </c>
    </row>
    <row r="25" spans="1:15" x14ac:dyDescent="0.25">
      <c r="A25" s="35" t="s">
        <v>88</v>
      </c>
      <c r="B25" s="36">
        <v>45681</v>
      </c>
      <c r="C25" s="35" t="s">
        <v>252</v>
      </c>
      <c r="D25" s="35" t="s">
        <v>89</v>
      </c>
      <c r="E25" s="35">
        <v>40</v>
      </c>
      <c r="F25" s="35" t="str">
        <f>IF(COUNTBLANK(#REF!)=0,#REF!,"Unknown")</f>
        <v>Unknown</v>
      </c>
      <c r="G25" s="35" t="str">
        <f>IF(COUNTBLANK(#REF!)=0,#REF!,"Unknown")</f>
        <v>Unknown</v>
      </c>
      <c r="H25" s="35">
        <v>125000</v>
      </c>
      <c r="I25" s="35" t="str">
        <f>IF(COUNTBLANK(#REF!)=0,#REF!,"Unknown")</f>
        <v>Investment</v>
      </c>
      <c r="J25" s="35">
        <v>28000</v>
      </c>
      <c r="K25" s="35" t="s">
        <v>33</v>
      </c>
      <c r="L25" s="35">
        <v>37000</v>
      </c>
      <c r="M25" s="35">
        <f>IF(COUNTBLANK(#REF!)=0,#REF!,0)</f>
        <v>12000</v>
      </c>
      <c r="N25" s="35">
        <v>798</v>
      </c>
      <c r="O25" s="35" t="s">
        <v>34</v>
      </c>
    </row>
    <row r="26" spans="1:15" x14ac:dyDescent="0.25">
      <c r="A26" s="35" t="s">
        <v>90</v>
      </c>
      <c r="B26" s="36">
        <v>45682</v>
      </c>
      <c r="C26" s="35" t="s">
        <v>253</v>
      </c>
      <c r="D26" s="35" t="s">
        <v>91</v>
      </c>
      <c r="E26" s="35">
        <v>31</v>
      </c>
      <c r="F26" s="35" t="str">
        <f>IF(COUNTBLANK(#REF!)=0,#REF!,"Unknown")</f>
        <v>Kolkata</v>
      </c>
      <c r="G26" s="35" t="str">
        <f>IF(COUNTBLANK(#REF!)=0,#REF!,"Unknown")</f>
        <v>Salary</v>
      </c>
      <c r="H26" s="35">
        <v>74000</v>
      </c>
      <c r="I26" s="35" t="str">
        <f>IF(COUNTBLANK(#REF!)=0,#REF!,"Unknown")</f>
        <v>Education</v>
      </c>
      <c r="J26" s="35">
        <v>5300</v>
      </c>
      <c r="K26" s="35" t="s">
        <v>1</v>
      </c>
      <c r="L26" s="35">
        <v>15000</v>
      </c>
      <c r="M26" s="35">
        <f>IF(COUNTBLANK(#REF!)=0,#REF!,0)</f>
        <v>5000</v>
      </c>
      <c r="N26" s="35">
        <v>750</v>
      </c>
      <c r="O26" s="35" t="s">
        <v>24</v>
      </c>
    </row>
    <row r="27" spans="1:15" x14ac:dyDescent="0.25">
      <c r="A27" s="35" t="s">
        <v>92</v>
      </c>
      <c r="B27" s="36">
        <v>45683</v>
      </c>
      <c r="C27" s="35" t="s">
        <v>15</v>
      </c>
      <c r="D27" s="35" t="s">
        <v>93</v>
      </c>
      <c r="E27" s="35">
        <v>28</v>
      </c>
      <c r="F27" s="35" t="str">
        <f>IF(COUNTBLANK(#REF!)=0,#REF!,"Unknown")</f>
        <v>Delhi</v>
      </c>
      <c r="G27" s="35" t="str">
        <f>IF(COUNTBLANK(#REF!)=0,#REF!,"Unknown")</f>
        <v>Salary</v>
      </c>
      <c r="H27" s="35">
        <v>63000</v>
      </c>
      <c r="I27" s="35" t="str">
        <f>IF(COUNTBLANK(#REF!)=0,#REF!,"Unknown")</f>
        <v>Unknown</v>
      </c>
      <c r="J27" s="35">
        <v>8600</v>
      </c>
      <c r="K27" s="35" t="s">
        <v>23</v>
      </c>
      <c r="L27" s="35">
        <v>11000</v>
      </c>
      <c r="M27" s="35">
        <f>IF(COUNTBLANK(#REF!)=0,#REF!,0)</f>
        <v>3500</v>
      </c>
      <c r="N27" s="35">
        <v>721</v>
      </c>
      <c r="O27" s="35" t="s">
        <v>18</v>
      </c>
    </row>
    <row r="28" spans="1:15" x14ac:dyDescent="0.25">
      <c r="A28" s="35" t="s">
        <v>191</v>
      </c>
      <c r="B28" s="36">
        <v>45733</v>
      </c>
      <c r="C28" s="35" t="s">
        <v>105</v>
      </c>
      <c r="D28" s="35" t="s">
        <v>192</v>
      </c>
      <c r="E28" s="35">
        <v>36</v>
      </c>
      <c r="F28" s="35" t="str">
        <f>IF(COUNTBLANK(#REF!)=0,#REF!,"Unknown")</f>
        <v>Kolkata</v>
      </c>
      <c r="G28" s="35" t="str">
        <f>IF(COUNTBLANK(#REF!)=0,#REF!,"Unknown")</f>
        <v>Salary</v>
      </c>
      <c r="H28" s="35">
        <v>81000</v>
      </c>
      <c r="I28" s="35" t="str">
        <f>IF(COUNTBLANK(#REF!)=0,#REF!,"Unknown")</f>
        <v>Travel</v>
      </c>
      <c r="J28" s="35">
        <v>9400</v>
      </c>
      <c r="K28" s="35" t="s">
        <v>1</v>
      </c>
      <c r="L28" s="35">
        <v>17000</v>
      </c>
      <c r="M28" s="35">
        <f>IF(COUNTBLANK(#REF!)=0,#REF!,0)</f>
        <v>8500</v>
      </c>
      <c r="N28" s="35">
        <v>743</v>
      </c>
      <c r="O28" s="35" t="s">
        <v>24</v>
      </c>
    </row>
    <row r="29" spans="1:15" x14ac:dyDescent="0.25">
      <c r="A29" s="35" t="s">
        <v>193</v>
      </c>
      <c r="B29" s="36">
        <v>45734</v>
      </c>
      <c r="C29" s="35" t="s">
        <v>163</v>
      </c>
      <c r="D29" s="35" t="s">
        <v>194</v>
      </c>
      <c r="E29" s="35">
        <v>27</v>
      </c>
      <c r="F29" s="35" t="str">
        <f>IF(COUNTBLANK(#REF!)=0,#REF!,"Unknown")</f>
        <v>Pune</v>
      </c>
      <c r="G29" s="35" t="str">
        <f>IF(COUNTBLANK(#REF!)=0,#REF!,"Unknown")</f>
        <v>Freelancing</v>
      </c>
      <c r="H29" s="35">
        <v>55000</v>
      </c>
      <c r="I29" s="35" t="str">
        <f>IF(COUNTBLANK(#REF!)=0,#REF!,"Unknown")</f>
        <v>Food</v>
      </c>
      <c r="J29" s="35">
        <v>5200</v>
      </c>
      <c r="K29" s="35" t="s">
        <v>23</v>
      </c>
      <c r="L29" s="35">
        <v>8000</v>
      </c>
      <c r="M29" s="35">
        <f>IF(COUNTBLANK(#REF!)=0,#REF!,0)</f>
        <v>0</v>
      </c>
      <c r="N29" s="35">
        <v>701</v>
      </c>
      <c r="O29" s="35" t="s">
        <v>18</v>
      </c>
    </row>
    <row r="30" spans="1:15" x14ac:dyDescent="0.25">
      <c r="A30" s="35" t="s">
        <v>195</v>
      </c>
      <c r="B30" s="36">
        <v>45735</v>
      </c>
      <c r="C30" s="35" t="s">
        <v>222</v>
      </c>
      <c r="D30" s="35" t="s">
        <v>196</v>
      </c>
      <c r="E30" s="35">
        <v>43</v>
      </c>
      <c r="F30" s="35" t="str">
        <f>IF(COUNTBLANK(#REF!)=0,#REF!,"Unknown")</f>
        <v>Delhi</v>
      </c>
      <c r="G30" s="35" t="str">
        <f>IF(COUNTBLANK(#REF!)=0,#REF!,"Unknown")</f>
        <v>Business</v>
      </c>
      <c r="H30" s="35">
        <v>149000</v>
      </c>
      <c r="I30" s="35" t="str">
        <f>IF(COUNTBLANK(#REF!)=0,#REF!,"Unknown")</f>
        <v>Investment</v>
      </c>
      <c r="J30" s="35">
        <v>41000</v>
      </c>
      <c r="K30" s="35" t="s">
        <v>46</v>
      </c>
      <c r="L30" s="35">
        <v>50000</v>
      </c>
      <c r="M30" s="35">
        <f>IF(COUNTBLANK(#REF!)=0,#REF!,0)</f>
        <v>23000</v>
      </c>
      <c r="N30" s="35">
        <v>815</v>
      </c>
      <c r="O30" s="35" t="s">
        <v>34</v>
      </c>
    </row>
    <row r="31" spans="1:15" x14ac:dyDescent="0.25">
      <c r="A31" s="35" t="s">
        <v>197</v>
      </c>
      <c r="B31" s="36">
        <v>45736</v>
      </c>
      <c r="C31" s="35" t="s">
        <v>246</v>
      </c>
      <c r="D31" s="35" t="s">
        <v>198</v>
      </c>
      <c r="E31" s="35">
        <v>30</v>
      </c>
      <c r="F31" s="35" t="str">
        <f>IF(COUNTBLANK(#REF!)=0,#REF!,"Unknown")</f>
        <v>Kolkata</v>
      </c>
      <c r="G31" s="35" t="str">
        <f>IF(COUNTBLANK(#REF!)=0,#REF!,"Unknown")</f>
        <v>Salary</v>
      </c>
      <c r="H31" s="35">
        <v>72000</v>
      </c>
      <c r="I31" s="35" t="str">
        <f>IF(COUNTBLANK(#REF!)=0,#REF!,"Unknown")</f>
        <v>Utilities</v>
      </c>
      <c r="J31" s="35">
        <v>6300</v>
      </c>
      <c r="K31" s="35" t="s">
        <v>1</v>
      </c>
      <c r="L31" s="35">
        <v>14500</v>
      </c>
      <c r="M31" s="35">
        <f>IF(COUNTBLANK(#REF!)=0,#REF!,0)</f>
        <v>3500</v>
      </c>
      <c r="N31" s="35">
        <v>735</v>
      </c>
      <c r="O31" s="35" t="s">
        <v>24</v>
      </c>
    </row>
    <row r="32" spans="1:15" x14ac:dyDescent="0.25">
      <c r="A32" s="35" t="s">
        <v>199</v>
      </c>
      <c r="B32" s="36">
        <v>45737</v>
      </c>
      <c r="C32" s="35" t="s">
        <v>247</v>
      </c>
      <c r="D32" s="35" t="s">
        <v>200</v>
      </c>
      <c r="E32" s="35">
        <v>28</v>
      </c>
      <c r="F32" s="35" t="str">
        <f>IF(COUNTBLANK(#REF!)=0,#REF!,"Unknown")</f>
        <v>Delhi</v>
      </c>
      <c r="G32" s="35" t="str">
        <f>IF(COUNTBLANK(#REF!)=0,#REF!,"Unknown")</f>
        <v>Salary</v>
      </c>
      <c r="H32" s="35">
        <v>65000</v>
      </c>
      <c r="I32" s="35" t="str">
        <f>IF(COUNTBLANK(#REF!)=0,#REF!,"Unknown")</f>
        <v>Transport</v>
      </c>
      <c r="J32" s="35">
        <v>4800</v>
      </c>
      <c r="K32" s="35" t="s">
        <v>0</v>
      </c>
      <c r="L32" s="35">
        <v>10000</v>
      </c>
      <c r="M32" s="35">
        <f>IF(COUNTBLANK(#REF!)=0,#REF!,0)</f>
        <v>4000</v>
      </c>
      <c r="N32" s="35">
        <v>712</v>
      </c>
      <c r="O32" s="35" t="s">
        <v>18</v>
      </c>
    </row>
    <row r="33" spans="1:15" x14ac:dyDescent="0.25">
      <c r="A33" s="35" t="s">
        <v>201</v>
      </c>
      <c r="B33" s="36">
        <v>45738</v>
      </c>
      <c r="C33" s="35" t="s">
        <v>248</v>
      </c>
      <c r="D33" s="35" t="s">
        <v>202</v>
      </c>
      <c r="E33" s="35">
        <v>25</v>
      </c>
      <c r="F33" s="35" t="str">
        <f>IF(COUNTBLANK(#REF!)=0,#REF!,"Unknown")</f>
        <v>Kolkata</v>
      </c>
      <c r="G33" s="35" t="str">
        <f>IF(COUNTBLANK(#REF!)=0,#REF!,"Unknown")</f>
        <v>Freelancing</v>
      </c>
      <c r="H33" s="35">
        <v>50000</v>
      </c>
      <c r="I33" s="35" t="str">
        <f>IF(COUNTBLANK(#REF!)=0,#REF!,"Unknown")</f>
        <v>Shopping</v>
      </c>
      <c r="J33" s="35">
        <v>8100</v>
      </c>
      <c r="K33" s="35" t="s">
        <v>23</v>
      </c>
      <c r="L33" s="35">
        <v>6000</v>
      </c>
      <c r="M33" s="35">
        <f>IF(COUNTBLANK(#REF!)=0,#REF!,0)</f>
        <v>0</v>
      </c>
      <c r="N33" s="35">
        <v>689</v>
      </c>
      <c r="O33" s="35" t="s">
        <v>28</v>
      </c>
    </row>
    <row r="34" spans="1:15" x14ac:dyDescent="0.25">
      <c r="A34" s="35" t="s">
        <v>203</v>
      </c>
      <c r="B34" s="36">
        <v>45739</v>
      </c>
      <c r="C34" s="35" t="s">
        <v>249</v>
      </c>
      <c r="D34" s="35" t="s">
        <v>204</v>
      </c>
      <c r="E34" s="35">
        <v>40</v>
      </c>
      <c r="F34" s="35" t="str">
        <f>IF(COUNTBLANK(#REF!)=0,#REF!,"Unknown")</f>
        <v>Mumbai</v>
      </c>
      <c r="G34" s="35" t="str">
        <f>IF(COUNTBLANK(#REF!)=0,#REF!,"Unknown")</f>
        <v>Unknown</v>
      </c>
      <c r="H34" s="35">
        <v>137000</v>
      </c>
      <c r="I34" s="35" t="str">
        <f>IF(COUNTBLANK(#REF!)=0,#REF!,"Unknown")</f>
        <v>Rent</v>
      </c>
      <c r="J34" s="35">
        <v>33000</v>
      </c>
      <c r="K34" s="35" t="s">
        <v>287</v>
      </c>
      <c r="L34" s="35">
        <v>41000</v>
      </c>
      <c r="M34" s="35">
        <f>IF(COUNTBLANK(#REF!)=0,#REF!,0)</f>
        <v>17000</v>
      </c>
      <c r="N34" s="35">
        <v>799</v>
      </c>
      <c r="O34" s="35" t="s">
        <v>34</v>
      </c>
    </row>
    <row r="35" spans="1:15" x14ac:dyDescent="0.25">
      <c r="A35" s="35" t="s">
        <v>205</v>
      </c>
      <c r="B35" s="36">
        <v>45740</v>
      </c>
      <c r="C35" s="35" t="s">
        <v>250</v>
      </c>
      <c r="D35" s="35" t="s">
        <v>206</v>
      </c>
      <c r="E35" s="35">
        <v>31</v>
      </c>
      <c r="F35" s="35" t="str">
        <f>IF(COUNTBLANK(#REF!)=0,#REF!,"Unknown")</f>
        <v>Kolkata</v>
      </c>
      <c r="G35" s="35" t="str">
        <f>IF(COUNTBLANK(#REF!)=0,#REF!,"Unknown")</f>
        <v>Salary</v>
      </c>
      <c r="H35" s="35">
        <v>70000</v>
      </c>
      <c r="I35" s="35" t="str">
        <f>IF(COUNTBLANK(#REF!)=0,#REF!,"Unknown")</f>
        <v>Healthcare</v>
      </c>
      <c r="J35" s="35">
        <v>4600</v>
      </c>
      <c r="K35" s="35" t="s">
        <v>1</v>
      </c>
      <c r="L35" s="35">
        <v>13000</v>
      </c>
      <c r="M35" s="35">
        <f>IF(COUNTBLANK(#REF!)=0,#REF!,0)</f>
        <v>3000</v>
      </c>
      <c r="N35" s="35">
        <v>732</v>
      </c>
      <c r="O35" s="35" t="s">
        <v>24</v>
      </c>
    </row>
    <row r="36" spans="1:15" x14ac:dyDescent="0.25">
      <c r="A36" s="35" t="s">
        <v>207</v>
      </c>
      <c r="B36" s="36">
        <v>45741</v>
      </c>
      <c r="C36" s="35" t="s">
        <v>251</v>
      </c>
      <c r="D36" s="35" t="s">
        <v>208</v>
      </c>
      <c r="E36" s="35">
        <v>35</v>
      </c>
      <c r="F36" s="35" t="str">
        <f>IF(COUNTBLANK(#REF!)=0,#REF!,"Unknown")</f>
        <v>Delhi</v>
      </c>
      <c r="G36" s="35" t="str">
        <f>IF(COUNTBLANK(#REF!)=0,#REF!,"Unknown")</f>
        <v>Salary</v>
      </c>
      <c r="H36" s="35">
        <v>83000</v>
      </c>
      <c r="I36" s="35" t="str">
        <f>IF(COUNTBLANK(#REF!)=0,#REF!,"Unknown")</f>
        <v>Travel</v>
      </c>
      <c r="J36" s="35">
        <v>10200</v>
      </c>
      <c r="K36" s="35" t="s">
        <v>23</v>
      </c>
      <c r="L36" s="35">
        <v>18000</v>
      </c>
      <c r="M36" s="35">
        <f>IF(COUNTBLANK(#REF!)=0,#REF!,0)</f>
        <v>9500</v>
      </c>
      <c r="N36" s="35">
        <v>747</v>
      </c>
      <c r="O36" s="35" t="s">
        <v>24</v>
      </c>
    </row>
    <row r="37" spans="1:15" x14ac:dyDescent="0.25">
      <c r="A37" s="35" t="s">
        <v>209</v>
      </c>
      <c r="B37" s="36">
        <v>45742</v>
      </c>
      <c r="C37" s="35" t="s">
        <v>252</v>
      </c>
      <c r="D37" s="35" t="s">
        <v>210</v>
      </c>
      <c r="E37" s="35">
        <v>26</v>
      </c>
      <c r="F37" s="35" t="str">
        <f>IF(COUNTBLANK(#REF!)=0,#REF!,"Unknown")</f>
        <v>Pune</v>
      </c>
      <c r="G37" s="35" t="str">
        <f>IF(COUNTBLANK(#REF!)=0,#REF!,"Unknown")</f>
        <v>Freelancing</v>
      </c>
      <c r="H37" s="35">
        <v>53000</v>
      </c>
      <c r="I37" s="35" t="str">
        <f>IF(COUNTBLANK(#REF!)=0,#REF!,"Unknown")</f>
        <v>Entertainment</v>
      </c>
      <c r="J37" s="35">
        <v>4100</v>
      </c>
      <c r="K37" s="35" t="s">
        <v>0</v>
      </c>
      <c r="L37" s="35">
        <v>7000</v>
      </c>
      <c r="M37" s="35">
        <f>IF(COUNTBLANK(#REF!)=0,#REF!,0)</f>
        <v>0</v>
      </c>
      <c r="N37" s="35">
        <v>694</v>
      </c>
      <c r="O37" s="35" t="s">
        <v>28</v>
      </c>
    </row>
    <row r="38" spans="1:15" x14ac:dyDescent="0.25">
      <c r="A38" s="35" t="s">
        <v>211</v>
      </c>
      <c r="B38" s="36">
        <v>45743</v>
      </c>
      <c r="C38" s="35" t="s">
        <v>253</v>
      </c>
      <c r="D38" s="35" t="s">
        <v>212</v>
      </c>
      <c r="E38" s="35">
        <v>42</v>
      </c>
      <c r="F38" s="35" t="str">
        <f>IF(COUNTBLANK(#REF!)=0,#REF!,"Unknown")</f>
        <v>Ahmedabad</v>
      </c>
      <c r="G38" s="35" t="str">
        <f>IF(COUNTBLANK(#REF!)=0,#REF!,"Unknown")</f>
        <v>Business</v>
      </c>
      <c r="H38" s="35">
        <v>144000</v>
      </c>
      <c r="I38" s="35" t="str">
        <f>IF(COUNTBLANK(#REF!)=0,#REF!,"Unknown")</f>
        <v>Investment</v>
      </c>
      <c r="J38" s="35">
        <v>37000</v>
      </c>
      <c r="K38" s="35" t="s">
        <v>46</v>
      </c>
      <c r="L38" s="35">
        <v>46000</v>
      </c>
      <c r="M38" s="35">
        <f>IF(COUNTBLANK(#REF!)=0,#REF!,0)</f>
        <v>21000</v>
      </c>
      <c r="N38" s="35">
        <v>810</v>
      </c>
      <c r="O38" s="35" t="s">
        <v>34</v>
      </c>
    </row>
    <row r="39" spans="1:15" x14ac:dyDescent="0.25">
      <c r="A39" s="35" t="s">
        <v>213</v>
      </c>
      <c r="B39" s="36">
        <v>45744</v>
      </c>
      <c r="C39" s="35" t="s">
        <v>15</v>
      </c>
      <c r="D39" s="35" t="s">
        <v>214</v>
      </c>
      <c r="E39" s="35">
        <v>29</v>
      </c>
      <c r="F39" s="35" t="str">
        <f>IF(COUNTBLANK(#REF!)=0,#REF!,"Unknown")</f>
        <v>Kolkata</v>
      </c>
      <c r="G39" s="35" t="str">
        <f>IF(COUNTBLANK(#REF!)=0,#REF!,"Unknown")</f>
        <v>Salary</v>
      </c>
      <c r="H39" s="35">
        <v>69000</v>
      </c>
      <c r="I39" s="35" t="str">
        <f>IF(COUNTBLANK(#REF!)=0,#REF!,"Unknown")</f>
        <v>Groceries</v>
      </c>
      <c r="J39" s="35">
        <v>6200</v>
      </c>
      <c r="K39" s="35" t="s">
        <v>1</v>
      </c>
      <c r="L39" s="35">
        <v>12500</v>
      </c>
      <c r="M39" s="35">
        <f>IF(COUNTBLANK(#REF!)=0,#REF!,0)</f>
        <v>3000</v>
      </c>
      <c r="N39" s="35">
        <v>728</v>
      </c>
      <c r="O39" s="35" t="s">
        <v>24</v>
      </c>
    </row>
    <row r="40" spans="1:15" x14ac:dyDescent="0.25">
      <c r="A40" s="35" t="s">
        <v>215</v>
      </c>
      <c r="B40" s="36">
        <v>45745</v>
      </c>
      <c r="C40" s="35" t="s">
        <v>105</v>
      </c>
      <c r="D40" s="35" t="s">
        <v>216</v>
      </c>
      <c r="E40" s="35">
        <v>33</v>
      </c>
      <c r="F40" s="35" t="str">
        <f>IF(COUNTBLANK(#REF!)=0,#REF!,"Unknown")</f>
        <v>Unknown</v>
      </c>
      <c r="G40" s="35" t="str">
        <f>IF(COUNTBLANK(#REF!)=0,#REF!,"Unknown")</f>
        <v>Salary</v>
      </c>
      <c r="H40" s="35">
        <v>78000</v>
      </c>
      <c r="I40" s="35" t="str">
        <f>IF(COUNTBLANK(#REF!)=0,#REF!,"Unknown")</f>
        <v>Rent</v>
      </c>
      <c r="J40" s="35">
        <v>22000</v>
      </c>
      <c r="K40" s="35" t="s">
        <v>23</v>
      </c>
      <c r="L40" s="35">
        <v>15000</v>
      </c>
      <c r="M40" s="35">
        <f>IF(COUNTBLANK(#REF!)=0,#REF!,0)</f>
        <v>7000</v>
      </c>
      <c r="N40" s="35">
        <v>739</v>
      </c>
      <c r="O40" s="35" t="s">
        <v>24</v>
      </c>
    </row>
    <row r="41" spans="1:15" x14ac:dyDescent="0.25">
      <c r="A41" s="35" t="s">
        <v>217</v>
      </c>
      <c r="B41" s="36">
        <v>45746</v>
      </c>
      <c r="C41" s="35" t="s">
        <v>163</v>
      </c>
      <c r="D41" s="35" t="s">
        <v>218</v>
      </c>
      <c r="E41" s="35">
        <v>24</v>
      </c>
      <c r="F41" s="35" t="str">
        <f>IF(COUNTBLANK(#REF!)=0,#REF!,"Unknown")</f>
        <v>Kolkata</v>
      </c>
      <c r="G41" s="35" t="str">
        <f>IF(COUNTBLANK(#REF!)=0,#REF!,"Unknown")</f>
        <v>Internship</v>
      </c>
      <c r="H41" s="35">
        <v>30000</v>
      </c>
      <c r="I41" s="35" t="str">
        <f>IF(COUNTBLANK(#REF!)=0,#REF!,"Unknown")</f>
        <v>Food</v>
      </c>
      <c r="J41" s="35">
        <v>3500</v>
      </c>
      <c r="K41" s="35" t="s">
        <v>0</v>
      </c>
      <c r="L41" s="35">
        <v>4000</v>
      </c>
      <c r="M41" s="35">
        <f>IF(COUNTBLANK(#REF!)=0,#REF!,0)</f>
        <v>0</v>
      </c>
      <c r="N41" s="35">
        <v>680</v>
      </c>
      <c r="O41" s="35" t="s">
        <v>28</v>
      </c>
    </row>
    <row r="42" spans="1:15" x14ac:dyDescent="0.25">
      <c r="A42" s="35" t="s">
        <v>219</v>
      </c>
      <c r="B42" s="36">
        <v>45747</v>
      </c>
      <c r="C42" s="35" t="s">
        <v>222</v>
      </c>
      <c r="D42" s="35" t="s">
        <v>220</v>
      </c>
      <c r="E42" s="35">
        <v>45</v>
      </c>
      <c r="F42" s="35" t="str">
        <f>IF(COUNTBLANK(#REF!)=0,#REF!,"Unknown")</f>
        <v>Bangalore</v>
      </c>
      <c r="G42" s="35" t="str">
        <f>IF(COUNTBLANK(#REF!)=0,#REF!,"Unknown")</f>
        <v>Business</v>
      </c>
      <c r="H42" s="35">
        <v>158000</v>
      </c>
      <c r="I42" s="35" t="str">
        <f>IF(COUNTBLANK(#REF!)=0,#REF!,"Unknown")</f>
        <v>Healthcare</v>
      </c>
      <c r="J42" s="35">
        <v>9100</v>
      </c>
      <c r="K42" s="35" t="s">
        <v>33</v>
      </c>
      <c r="L42" s="35">
        <v>54000</v>
      </c>
      <c r="M42" s="35">
        <f>IF(COUNTBLANK(#REF!)=0,#REF!,0)</f>
        <v>8000</v>
      </c>
      <c r="N42" s="35">
        <v>822</v>
      </c>
      <c r="O42" s="35" t="s">
        <v>34</v>
      </c>
    </row>
    <row r="43" spans="1:15" x14ac:dyDescent="0.25">
      <c r="A43" s="35" t="s">
        <v>221</v>
      </c>
      <c r="B43" s="36">
        <v>45748</v>
      </c>
      <c r="C43" s="35" t="s">
        <v>246</v>
      </c>
      <c r="D43" s="35" t="s">
        <v>223</v>
      </c>
      <c r="E43" s="35">
        <v>30</v>
      </c>
      <c r="F43" s="35" t="str">
        <f>IF(COUNTBLANK(#REF!)=0,#REF!,"Unknown")</f>
        <v>Kolkata</v>
      </c>
      <c r="G43" s="35" t="str">
        <f>IF(COUNTBLANK(#REF!)=0,#REF!,"Unknown")</f>
        <v>Unknown</v>
      </c>
      <c r="H43" s="35">
        <v>73000</v>
      </c>
      <c r="I43" s="35" t="str">
        <f>IF(COUNTBLANK(#REF!)=0,#REF!,"Unknown")</f>
        <v>Shopping</v>
      </c>
      <c r="J43" s="35">
        <v>7900</v>
      </c>
      <c r="K43" s="35" t="s">
        <v>287</v>
      </c>
      <c r="L43" s="35">
        <v>13500</v>
      </c>
      <c r="M43" s="35">
        <f>IF(COUNTBLANK(#REF!)=0,#REF!,0)</f>
        <v>4000</v>
      </c>
      <c r="N43" s="35">
        <v>736</v>
      </c>
      <c r="O43" s="35" t="s">
        <v>24</v>
      </c>
    </row>
    <row r="44" spans="1:15" x14ac:dyDescent="0.25">
      <c r="A44" s="35" t="s">
        <v>224</v>
      </c>
      <c r="B44" s="36">
        <v>45749</v>
      </c>
      <c r="C44" s="35" t="s">
        <v>247</v>
      </c>
      <c r="D44" s="35" t="s">
        <v>225</v>
      </c>
      <c r="E44" s="35">
        <v>36</v>
      </c>
      <c r="F44" s="35" t="str">
        <f>IF(COUNTBLANK(#REF!)=0,#REF!,"Unknown")</f>
        <v>Mumbai</v>
      </c>
      <c r="G44" s="35" t="str">
        <f>IF(COUNTBLANK(#REF!)=0,#REF!,"Unknown")</f>
        <v>Salary</v>
      </c>
      <c r="H44" s="35">
        <v>86000</v>
      </c>
      <c r="I44" s="35" t="str">
        <f>IF(COUNTBLANK(#REF!)=0,#REF!,"Unknown")</f>
        <v>Unknown</v>
      </c>
      <c r="J44" s="35">
        <v>9700</v>
      </c>
      <c r="K44" s="35" t="s">
        <v>23</v>
      </c>
      <c r="L44" s="35">
        <v>19000</v>
      </c>
      <c r="M44" s="35">
        <f>IF(COUNTBLANK(#REF!)=0,#REF!,0)</f>
        <v>10000</v>
      </c>
      <c r="N44" s="35">
        <v>748</v>
      </c>
      <c r="O44" s="35" t="s">
        <v>24</v>
      </c>
    </row>
    <row r="45" spans="1:15" x14ac:dyDescent="0.25">
      <c r="A45" s="35" t="s">
        <v>226</v>
      </c>
      <c r="B45" s="36">
        <v>45750</v>
      </c>
      <c r="C45" s="35" t="s">
        <v>248</v>
      </c>
      <c r="D45" s="35" t="s">
        <v>227</v>
      </c>
      <c r="E45" s="35">
        <v>27</v>
      </c>
      <c r="F45" s="35" t="str">
        <f>IF(COUNTBLANK(#REF!)=0,#REF!,"Unknown")</f>
        <v>Kolkata</v>
      </c>
      <c r="G45" s="35" t="str">
        <f>IF(COUNTBLANK(#REF!)=0,#REF!,"Unknown")</f>
        <v>Freelancing</v>
      </c>
      <c r="H45" s="35">
        <v>52000</v>
      </c>
      <c r="I45" s="35" t="str">
        <f>IF(COUNTBLANK(#REF!)=0,#REF!,"Unknown")</f>
        <v>Entertainment</v>
      </c>
      <c r="J45" s="35">
        <v>4500</v>
      </c>
      <c r="K45" s="35" t="s">
        <v>1</v>
      </c>
      <c r="L45" s="35">
        <v>6500</v>
      </c>
      <c r="M45" s="35">
        <f>IF(COUNTBLANK(#REF!)=0,#REF!,0)</f>
        <v>0</v>
      </c>
      <c r="N45" s="35">
        <v>696</v>
      </c>
      <c r="O45" s="35" t="s">
        <v>28</v>
      </c>
    </row>
    <row r="46" spans="1:15" x14ac:dyDescent="0.25">
      <c r="A46" s="35" t="s">
        <v>228</v>
      </c>
      <c r="B46" s="36">
        <v>45751</v>
      </c>
      <c r="C46" s="35" t="s">
        <v>249</v>
      </c>
      <c r="D46" s="35" t="s">
        <v>229</v>
      </c>
      <c r="E46" s="35">
        <v>41</v>
      </c>
      <c r="F46" s="35" t="str">
        <f>IF(COUNTBLANK(#REF!)=0,#REF!,"Unknown")</f>
        <v>Delhi</v>
      </c>
      <c r="G46" s="35" t="str">
        <f>IF(COUNTBLANK(#REF!)=0,#REF!,"Unknown")</f>
        <v>Business</v>
      </c>
      <c r="H46" s="35">
        <v>139000</v>
      </c>
      <c r="I46" s="35" t="str">
        <f>IF(COUNTBLANK(#REF!)=0,#REF!,"Unknown")</f>
        <v>Investment</v>
      </c>
      <c r="J46" s="35">
        <v>35000</v>
      </c>
      <c r="K46" s="35" t="s">
        <v>46</v>
      </c>
      <c r="L46" s="35">
        <v>42000</v>
      </c>
      <c r="M46" s="35">
        <f>IF(COUNTBLANK(#REF!)=0,#REF!,0)</f>
        <v>18000</v>
      </c>
      <c r="N46" s="35">
        <v>801</v>
      </c>
      <c r="O46" s="35" t="s">
        <v>34</v>
      </c>
    </row>
    <row r="47" spans="1:15" x14ac:dyDescent="0.25">
      <c r="A47" s="35" t="s">
        <v>230</v>
      </c>
      <c r="B47" s="36">
        <v>45752</v>
      </c>
      <c r="C47" s="35" t="s">
        <v>250</v>
      </c>
      <c r="D47" s="35" t="s">
        <v>231</v>
      </c>
      <c r="E47" s="35">
        <v>31</v>
      </c>
      <c r="F47" s="35" t="str">
        <f>IF(COUNTBLANK(#REF!)=0,#REF!,"Unknown")</f>
        <v>Kolkata</v>
      </c>
      <c r="G47" s="35" t="str">
        <f>IF(COUNTBLANK(#REF!)=0,#REF!,"Unknown")</f>
        <v>Salary</v>
      </c>
      <c r="H47" s="35">
        <v>71000</v>
      </c>
      <c r="I47" s="35" t="str">
        <f>IF(COUNTBLANK(#REF!)=0,#REF!,"Unknown")</f>
        <v>Utilities</v>
      </c>
      <c r="J47" s="35">
        <v>6100</v>
      </c>
      <c r="K47" s="35" t="s">
        <v>23</v>
      </c>
      <c r="L47" s="35">
        <v>14000</v>
      </c>
      <c r="M47" s="35">
        <f>IF(COUNTBLANK(#REF!)=0,#REF!,0)</f>
        <v>3500</v>
      </c>
      <c r="N47" s="35">
        <v>734</v>
      </c>
      <c r="O47" s="35" t="s">
        <v>24</v>
      </c>
    </row>
    <row r="48" spans="1:15" x14ac:dyDescent="0.25">
      <c r="A48" s="35" t="s">
        <v>232</v>
      </c>
      <c r="B48" s="36">
        <v>45753</v>
      </c>
      <c r="C48" s="35" t="s">
        <v>251</v>
      </c>
      <c r="D48" s="35" t="s">
        <v>233</v>
      </c>
      <c r="E48" s="35">
        <v>28</v>
      </c>
      <c r="F48" s="35" t="str">
        <f>IF(COUNTBLANK(#REF!)=0,#REF!,"Unknown")</f>
        <v>Unknown</v>
      </c>
      <c r="G48" s="35" t="str">
        <f>IF(COUNTBLANK(#REF!)=0,#REF!,"Unknown")</f>
        <v>Salary</v>
      </c>
      <c r="H48" s="35">
        <v>67000</v>
      </c>
      <c r="I48" s="35" t="str">
        <f>IF(COUNTBLANK(#REF!)=0,#REF!,"Unknown")</f>
        <v>Rent</v>
      </c>
      <c r="J48" s="35">
        <v>19500</v>
      </c>
      <c r="K48" s="35" t="s">
        <v>1</v>
      </c>
      <c r="L48" s="35">
        <v>10500</v>
      </c>
      <c r="M48" s="35">
        <f>IF(COUNTBLANK(#REF!)=0,#REF!,0)</f>
        <v>4500</v>
      </c>
      <c r="N48" s="35">
        <v>718</v>
      </c>
      <c r="O48" s="35" t="s">
        <v>18</v>
      </c>
    </row>
    <row r="49" spans="1:15" x14ac:dyDescent="0.25">
      <c r="A49" s="35" t="s">
        <v>234</v>
      </c>
      <c r="B49" s="36">
        <v>45754</v>
      </c>
      <c r="C49" s="35" t="s">
        <v>252</v>
      </c>
      <c r="D49" s="35" t="s">
        <v>235</v>
      </c>
      <c r="E49" s="35">
        <v>25</v>
      </c>
      <c r="F49" s="35" t="str">
        <f>IF(COUNTBLANK(#REF!)=0,#REF!,"Unknown")</f>
        <v>Kolkata</v>
      </c>
      <c r="G49" s="35" t="str">
        <f>IF(COUNTBLANK(#REF!)=0,#REF!,"Unknown")</f>
        <v>Internship</v>
      </c>
      <c r="H49" s="35">
        <v>31000</v>
      </c>
      <c r="I49" s="35" t="str">
        <f>IF(COUNTBLANK(#REF!)=0,#REF!,"Unknown")</f>
        <v>Education</v>
      </c>
      <c r="J49" s="35">
        <v>3900</v>
      </c>
      <c r="K49" s="35" t="s">
        <v>0</v>
      </c>
      <c r="L49" s="35">
        <v>3000</v>
      </c>
      <c r="M49" s="35">
        <f>IF(COUNTBLANK(#REF!)=0,#REF!,0)</f>
        <v>0</v>
      </c>
      <c r="N49" s="35">
        <v>677</v>
      </c>
      <c r="O49" s="35" t="s">
        <v>28</v>
      </c>
    </row>
    <row r="50" spans="1:15" x14ac:dyDescent="0.25">
      <c r="A50" s="35" t="s">
        <v>236</v>
      </c>
      <c r="B50" s="36">
        <v>45755</v>
      </c>
      <c r="C50" s="35" t="s">
        <v>253</v>
      </c>
      <c r="D50" s="35" t="s">
        <v>237</v>
      </c>
      <c r="E50" s="35">
        <v>43</v>
      </c>
      <c r="F50" s="35" t="str">
        <f>IF(COUNTBLANK(#REF!)=0,#REF!,"Unknown")</f>
        <v>Ahmedabad</v>
      </c>
      <c r="G50" s="35" t="str">
        <f>IF(COUNTBLANK(#REF!)=0,#REF!,"Unknown")</f>
        <v>Business</v>
      </c>
      <c r="H50" s="35">
        <v>148000</v>
      </c>
      <c r="I50" s="35" t="str">
        <f>IF(COUNTBLANK(#REF!)=0,#REF!,"Unknown")</f>
        <v>Healthcare</v>
      </c>
      <c r="J50" s="35">
        <v>8300</v>
      </c>
      <c r="K50" s="35" t="s">
        <v>33</v>
      </c>
      <c r="L50" s="35">
        <v>49000</v>
      </c>
      <c r="M50" s="35">
        <f>IF(COUNTBLANK(#REF!)=0,#REF!,0)</f>
        <v>22000</v>
      </c>
      <c r="N50" s="35">
        <v>814</v>
      </c>
      <c r="O50" s="35" t="s">
        <v>34</v>
      </c>
    </row>
    <row r="51" spans="1:15" x14ac:dyDescent="0.25">
      <c r="A51" s="35" t="s">
        <v>238</v>
      </c>
      <c r="B51" s="36">
        <v>45756</v>
      </c>
      <c r="C51" s="35" t="s">
        <v>15</v>
      </c>
      <c r="D51" s="35" t="s">
        <v>239</v>
      </c>
      <c r="E51" s="35">
        <v>30</v>
      </c>
      <c r="F51" s="35" t="str">
        <f>IF(COUNTBLANK(#REF!)=0,#REF!,"Unknown")</f>
        <v>Kolkata</v>
      </c>
      <c r="G51" s="35" t="str">
        <f>IF(COUNTBLANK(#REF!)=0,#REF!,"Unknown")</f>
        <v>Salary</v>
      </c>
      <c r="H51" s="35">
        <v>72000</v>
      </c>
      <c r="I51" s="35" t="str">
        <f>IF(COUNTBLANK(#REF!)=0,#REF!,"Unknown")</f>
        <v>Shopping</v>
      </c>
      <c r="J51" s="35">
        <v>7400</v>
      </c>
      <c r="K51" s="35" t="s">
        <v>1</v>
      </c>
      <c r="L51" s="35">
        <v>13200</v>
      </c>
      <c r="M51" s="35">
        <f>IF(COUNTBLANK(#REF!)=0,#REF!,0)</f>
        <v>3000</v>
      </c>
      <c r="N51" s="35">
        <v>731</v>
      </c>
      <c r="O51" s="35" t="s">
        <v>24</v>
      </c>
    </row>
    <row r="52" spans="1:15" x14ac:dyDescent="0.25">
      <c r="A52" s="35" t="s">
        <v>240</v>
      </c>
      <c r="B52" s="36">
        <v>45757</v>
      </c>
      <c r="C52" s="35" t="s">
        <v>105</v>
      </c>
      <c r="D52" s="35" t="s">
        <v>241</v>
      </c>
      <c r="E52" s="35">
        <v>35</v>
      </c>
      <c r="F52" s="35" t="str">
        <f>IF(COUNTBLANK(#REF!)=0,#REF!,"Unknown")</f>
        <v>Delhi</v>
      </c>
      <c r="G52" s="35" t="str">
        <f>IF(COUNTBLANK(#REF!)=0,#REF!,"Unknown")</f>
        <v>Unknown</v>
      </c>
      <c r="H52" s="35">
        <v>80000</v>
      </c>
      <c r="I52" s="35" t="str">
        <f>IF(COUNTBLANK(#REF!)=0,#REF!,"Unknown")</f>
        <v>Travel</v>
      </c>
      <c r="J52" s="35">
        <v>10100</v>
      </c>
      <c r="K52" s="35" t="s">
        <v>23</v>
      </c>
      <c r="L52" s="35">
        <v>17500</v>
      </c>
      <c r="M52" s="35">
        <f>IF(COUNTBLANK(#REF!)=0,#REF!,0)</f>
        <v>9000</v>
      </c>
      <c r="N52" s="35">
        <v>744</v>
      </c>
      <c r="O52" s="35" t="s">
        <v>24</v>
      </c>
    </row>
    <row r="53" spans="1:15" x14ac:dyDescent="0.25">
      <c r="A53" s="35" t="s">
        <v>242</v>
      </c>
      <c r="B53" s="36">
        <v>45758</v>
      </c>
      <c r="C53" s="35" t="s">
        <v>163</v>
      </c>
      <c r="D53" s="35" t="s">
        <v>243</v>
      </c>
      <c r="E53" s="35">
        <v>27</v>
      </c>
      <c r="F53" s="35" t="str">
        <f>IF(COUNTBLANK(#REF!)=0,#REF!,"Unknown")</f>
        <v>Kolkata</v>
      </c>
      <c r="G53" s="35" t="str">
        <f>IF(COUNTBLANK(#REF!)=0,#REF!,"Unknown")</f>
        <v>Freelancing</v>
      </c>
      <c r="H53" s="35">
        <v>54000</v>
      </c>
      <c r="I53" s="35" t="str">
        <f>IF(COUNTBLANK(#REF!)=0,#REF!,"Unknown")</f>
        <v>Food</v>
      </c>
      <c r="J53" s="35">
        <v>5100</v>
      </c>
      <c r="K53" s="35" t="s">
        <v>1</v>
      </c>
      <c r="L53" s="35">
        <v>7200</v>
      </c>
      <c r="M53" s="35">
        <f>IF(COUNTBLANK(#REF!)=0,#REF!,0)</f>
        <v>0</v>
      </c>
      <c r="N53" s="35">
        <v>700</v>
      </c>
      <c r="O53" s="35" t="s">
        <v>18</v>
      </c>
    </row>
    <row r="54" spans="1:15" x14ac:dyDescent="0.25">
      <c r="A54" s="35" t="s">
        <v>94</v>
      </c>
      <c r="B54" s="36">
        <v>45684</v>
      </c>
      <c r="C54" s="35" t="s">
        <v>222</v>
      </c>
      <c r="D54" s="35" t="s">
        <v>95</v>
      </c>
      <c r="E54" s="35">
        <v>30</v>
      </c>
      <c r="F54" s="35" t="str">
        <f>IF(COUNTBLANK(#REF!)=0,#REF!,"Unknown")</f>
        <v>Kolkata</v>
      </c>
      <c r="G54" s="35" t="str">
        <f>IF(COUNTBLANK(#REF!)=0,#REF!,"Unknown")</f>
        <v>Salary</v>
      </c>
      <c r="H54" s="35">
        <v>67000</v>
      </c>
      <c r="I54" s="35" t="str">
        <f>IF(COUNTBLANK(#REF!)=0,#REF!,"Unknown")</f>
        <v>Healthcare</v>
      </c>
      <c r="J54" s="35">
        <v>3400</v>
      </c>
      <c r="K54" s="35" t="s">
        <v>1</v>
      </c>
      <c r="L54" s="35">
        <v>14000</v>
      </c>
      <c r="M54" s="35">
        <f>IF(COUNTBLANK(#REF!)=0,#REF!,0)</f>
        <v>2500</v>
      </c>
      <c r="N54" s="35">
        <v>738</v>
      </c>
      <c r="O54" s="35" t="s">
        <v>24</v>
      </c>
    </row>
    <row r="55" spans="1:15" x14ac:dyDescent="0.25">
      <c r="A55" s="35" t="s">
        <v>96</v>
      </c>
      <c r="B55" s="36">
        <v>45685</v>
      </c>
      <c r="C55" s="35" t="s">
        <v>246</v>
      </c>
      <c r="D55" s="35" t="s">
        <v>97</v>
      </c>
      <c r="E55" s="35">
        <v>27</v>
      </c>
      <c r="F55" s="35" t="str">
        <f>IF(COUNTBLANK(#REF!)=0,#REF!,"Unknown")</f>
        <v>Delhi</v>
      </c>
      <c r="G55" s="35" t="str">
        <f>IF(COUNTBLANK(#REF!)=0,#REF!,"Unknown")</f>
        <v>Freelancing</v>
      </c>
      <c r="H55" s="35">
        <v>51000</v>
      </c>
      <c r="I55" s="35" t="str">
        <f>IF(COUNTBLANK(#REF!)=0,#REF!,"Unknown")</f>
        <v>Unknown</v>
      </c>
      <c r="J55" s="35">
        <v>4700</v>
      </c>
      <c r="K55" s="35" t="s">
        <v>0</v>
      </c>
      <c r="L55" s="35">
        <v>6000</v>
      </c>
      <c r="M55" s="35">
        <f>IF(COUNTBLANK(#REF!)=0,#REF!,0)</f>
        <v>0</v>
      </c>
      <c r="N55" s="35">
        <v>688</v>
      </c>
      <c r="O55" s="35" t="s">
        <v>28</v>
      </c>
    </row>
    <row r="56" spans="1:15" x14ac:dyDescent="0.25">
      <c r="A56" s="35" t="s">
        <v>98</v>
      </c>
      <c r="B56" s="36">
        <v>45686</v>
      </c>
      <c r="C56" s="35" t="s">
        <v>247</v>
      </c>
      <c r="D56" s="35" t="s">
        <v>99</v>
      </c>
      <c r="E56" s="35">
        <v>35</v>
      </c>
      <c r="F56" s="35" t="str">
        <f>IF(COUNTBLANK(#REF!)=0,#REF!,"Unknown")</f>
        <v>Bangalore</v>
      </c>
      <c r="G56" s="35" t="str">
        <f>IF(COUNTBLANK(#REF!)=0,#REF!,"Unknown")</f>
        <v>Business</v>
      </c>
      <c r="H56" s="35">
        <v>118000</v>
      </c>
      <c r="I56" s="35" t="str">
        <f>IF(COUNTBLANK(#REF!)=0,#REF!,"Unknown")</f>
        <v>Rent</v>
      </c>
      <c r="J56" s="35">
        <v>28000</v>
      </c>
      <c r="K56" s="35" t="s">
        <v>287</v>
      </c>
      <c r="L56" s="35">
        <v>32000</v>
      </c>
      <c r="M56" s="35">
        <f>IF(COUNTBLANK(#REF!)=0,#REF!,0)</f>
        <v>14000</v>
      </c>
      <c r="N56" s="35">
        <v>799</v>
      </c>
      <c r="O56" s="35" t="s">
        <v>34</v>
      </c>
    </row>
    <row r="57" spans="1:15" x14ac:dyDescent="0.25">
      <c r="A57" s="35" t="s">
        <v>100</v>
      </c>
      <c r="B57" s="36">
        <v>45687</v>
      </c>
      <c r="C57" s="35" t="s">
        <v>248</v>
      </c>
      <c r="D57" s="35" t="s">
        <v>101</v>
      </c>
      <c r="E57" s="35">
        <v>44</v>
      </c>
      <c r="F57" s="35" t="str">
        <f>IF(COUNTBLANK(#REF!)=0,#REF!,"Unknown")</f>
        <v>Unknown</v>
      </c>
      <c r="G57" s="35" t="str">
        <f>IF(COUNTBLANK(#REF!)=0,#REF!,"Unknown")</f>
        <v>Salary</v>
      </c>
      <c r="H57" s="35">
        <v>83000</v>
      </c>
      <c r="I57" s="35" t="str">
        <f>IF(COUNTBLANK(#REF!)=0,#REF!,"Unknown")</f>
        <v>Utilities</v>
      </c>
      <c r="J57" s="35">
        <v>7200</v>
      </c>
      <c r="K57" s="35" t="s">
        <v>33</v>
      </c>
      <c r="L57" s="35">
        <v>18000</v>
      </c>
      <c r="M57" s="35">
        <f>IF(COUNTBLANK(#REF!)=0,#REF!,0)</f>
        <v>10000</v>
      </c>
      <c r="N57" s="35">
        <v>712</v>
      </c>
      <c r="O57" s="35" t="s">
        <v>18</v>
      </c>
    </row>
    <row r="58" spans="1:15" x14ac:dyDescent="0.25">
      <c r="A58" s="35" t="s">
        <v>102</v>
      </c>
      <c r="B58" s="36">
        <v>45688</v>
      </c>
      <c r="C58" s="35" t="s">
        <v>249</v>
      </c>
      <c r="D58" s="35" t="s">
        <v>103</v>
      </c>
      <c r="E58" s="35">
        <v>26</v>
      </c>
      <c r="F58" s="35" t="str">
        <f>IF(COUNTBLANK(#REF!)=0,#REF!,"Unknown")</f>
        <v>Kolkata</v>
      </c>
      <c r="G58" s="35" t="str">
        <f>IF(COUNTBLANK(#REF!)=0,#REF!,"Unknown")</f>
        <v>Internship</v>
      </c>
      <c r="H58" s="35">
        <v>31000</v>
      </c>
      <c r="I58" s="35" t="str">
        <f>IF(COUNTBLANK(#REF!)=0,#REF!,"Unknown")</f>
        <v>Education</v>
      </c>
      <c r="J58" s="35">
        <v>3800</v>
      </c>
      <c r="K58" s="35" t="s">
        <v>1</v>
      </c>
      <c r="L58" s="35">
        <v>4500</v>
      </c>
      <c r="M58" s="35">
        <f>IF(COUNTBLANK(#REF!)=0,#REF!,0)</f>
        <v>0</v>
      </c>
      <c r="N58" s="35">
        <v>675</v>
      </c>
      <c r="O58" s="35" t="s">
        <v>28</v>
      </c>
    </row>
    <row r="59" spans="1:15" x14ac:dyDescent="0.25">
      <c r="A59" s="35" t="s">
        <v>104</v>
      </c>
      <c r="B59" s="36">
        <v>45689</v>
      </c>
      <c r="C59" s="35" t="s">
        <v>250</v>
      </c>
      <c r="D59" s="35" t="s">
        <v>106</v>
      </c>
      <c r="E59" s="35">
        <v>33</v>
      </c>
      <c r="F59" s="35" t="str">
        <f>IF(COUNTBLANK(#REF!)=0,#REF!,"Unknown")</f>
        <v>Mumbai</v>
      </c>
      <c r="G59" s="35" t="str">
        <f>IF(COUNTBLANK(#REF!)=0,#REF!,"Unknown")</f>
        <v>Salary</v>
      </c>
      <c r="H59" s="35">
        <v>78000</v>
      </c>
      <c r="I59" s="35" t="str">
        <f>IF(COUNTBLANK(#REF!)=0,#REF!,"Unknown")</f>
        <v>Travel</v>
      </c>
      <c r="J59" s="35">
        <v>9100</v>
      </c>
      <c r="K59" s="35" t="s">
        <v>23</v>
      </c>
      <c r="L59" s="35">
        <v>13000</v>
      </c>
      <c r="M59" s="35">
        <f>IF(COUNTBLANK(#REF!)=0,#REF!,0)</f>
        <v>5000</v>
      </c>
      <c r="N59" s="35">
        <v>741</v>
      </c>
      <c r="O59" s="35" t="s">
        <v>24</v>
      </c>
    </row>
    <row r="60" spans="1:15" x14ac:dyDescent="0.25">
      <c r="A60" s="35" t="s">
        <v>107</v>
      </c>
      <c r="B60" s="36">
        <v>45690</v>
      </c>
      <c r="C60" s="35" t="s">
        <v>251</v>
      </c>
      <c r="D60" s="35" t="s">
        <v>108</v>
      </c>
      <c r="E60" s="35">
        <v>29</v>
      </c>
      <c r="F60" s="35" t="str">
        <f>IF(COUNTBLANK(#REF!)=0,#REF!,"Unknown")</f>
        <v>Jaipur</v>
      </c>
      <c r="G60" s="35" t="str">
        <f>IF(COUNTBLANK(#REF!)=0,#REF!,"Unknown")</f>
        <v>Freelancing</v>
      </c>
      <c r="H60" s="35">
        <v>56000</v>
      </c>
      <c r="I60" s="35" t="str">
        <f>IF(COUNTBLANK(#REF!)=0,#REF!,"Unknown")</f>
        <v>Shopping</v>
      </c>
      <c r="J60" s="35">
        <v>6900</v>
      </c>
      <c r="K60" s="35" t="s">
        <v>1</v>
      </c>
      <c r="L60" s="35">
        <v>8000</v>
      </c>
      <c r="M60" s="35">
        <f>IF(COUNTBLANK(#REF!)=0,#REF!,0)</f>
        <v>7000</v>
      </c>
      <c r="N60" s="35">
        <v>701</v>
      </c>
      <c r="O60" s="35" t="s">
        <v>18</v>
      </c>
    </row>
    <row r="61" spans="1:15" x14ac:dyDescent="0.25">
      <c r="A61" s="35" t="s">
        <v>109</v>
      </c>
      <c r="B61" s="36">
        <v>45691</v>
      </c>
      <c r="C61" s="35" t="s">
        <v>252</v>
      </c>
      <c r="D61" s="35" t="s">
        <v>110</v>
      </c>
      <c r="E61" s="35">
        <v>39</v>
      </c>
      <c r="F61" s="35" t="str">
        <f>IF(COUNTBLANK(#REF!)=0,#REF!,"Unknown")</f>
        <v>Delhi</v>
      </c>
      <c r="G61" s="35" t="str">
        <f>IF(COUNTBLANK(#REF!)=0,#REF!,"Unknown")</f>
        <v>Unknown</v>
      </c>
      <c r="H61" s="35">
        <v>138000</v>
      </c>
      <c r="I61" s="35" t="str">
        <f>IF(COUNTBLANK(#REF!)=0,#REF!,"Unknown")</f>
        <v>Investment</v>
      </c>
      <c r="J61" s="35">
        <v>32000</v>
      </c>
      <c r="K61" s="35" t="s">
        <v>33</v>
      </c>
      <c r="L61" s="35">
        <v>41000</v>
      </c>
      <c r="M61" s="35">
        <f>IF(COUNTBLANK(#REF!)=0,#REF!,0)</f>
        <v>18000</v>
      </c>
      <c r="N61" s="35">
        <v>807</v>
      </c>
      <c r="O61" s="35" t="s">
        <v>34</v>
      </c>
    </row>
    <row r="62" spans="1:15" x14ac:dyDescent="0.25">
      <c r="A62" s="35" t="s">
        <v>111</v>
      </c>
      <c r="B62" s="36">
        <v>45692</v>
      </c>
      <c r="C62" s="35" t="s">
        <v>253</v>
      </c>
      <c r="D62" s="35" t="s">
        <v>112</v>
      </c>
      <c r="E62" s="35">
        <v>31</v>
      </c>
      <c r="F62" s="35" t="str">
        <f>IF(COUNTBLANK(#REF!)=0,#REF!,"Unknown")</f>
        <v>Kolkata</v>
      </c>
      <c r="G62" s="35" t="str">
        <f>IF(COUNTBLANK(#REF!)=0,#REF!,"Unknown")</f>
        <v>Salary</v>
      </c>
      <c r="H62" s="35">
        <v>69000</v>
      </c>
      <c r="I62" s="35" t="str">
        <f>IF(COUNTBLANK(#REF!)=0,#REF!,"Unknown")</f>
        <v>Groceries</v>
      </c>
      <c r="J62" s="35">
        <v>6400</v>
      </c>
      <c r="K62" s="35" t="s">
        <v>23</v>
      </c>
      <c r="L62" s="35">
        <v>12000</v>
      </c>
      <c r="M62" s="35">
        <f>IF(COUNTBLANK(#REF!)=0,#REF!,0)</f>
        <v>3000</v>
      </c>
      <c r="N62" s="35">
        <v>728</v>
      </c>
      <c r="O62" s="35" t="s">
        <v>24</v>
      </c>
    </row>
    <row r="63" spans="1:15" x14ac:dyDescent="0.25">
      <c r="A63" s="35" t="s">
        <v>113</v>
      </c>
      <c r="B63" s="36">
        <v>45693</v>
      </c>
      <c r="C63" s="35" t="s">
        <v>15</v>
      </c>
      <c r="D63" s="35" t="s">
        <v>114</v>
      </c>
      <c r="E63" s="35">
        <v>28</v>
      </c>
      <c r="F63" s="35" t="str">
        <f>IF(COUNTBLANK(#REF!)=0,#REF!,"Unknown")</f>
        <v>Kolkata</v>
      </c>
      <c r="G63" s="35" t="str">
        <f>IF(COUNTBLANK(#REF!)=0,#REF!,"Unknown")</f>
        <v>Salary</v>
      </c>
      <c r="H63" s="35">
        <v>62000</v>
      </c>
      <c r="I63" s="35" t="str">
        <f>IF(COUNTBLANK(#REF!)=0,#REF!,"Unknown")</f>
        <v>Rent</v>
      </c>
      <c r="J63" s="35">
        <v>19000</v>
      </c>
      <c r="K63" s="35" t="s">
        <v>1</v>
      </c>
      <c r="L63" s="35">
        <v>10000</v>
      </c>
      <c r="M63" s="35">
        <f>IF(COUNTBLANK(#REF!)=0,#REF!,0)</f>
        <v>4000</v>
      </c>
      <c r="N63" s="35">
        <v>719</v>
      </c>
      <c r="O63" s="35" t="s">
        <v>18</v>
      </c>
    </row>
    <row r="64" spans="1:15" x14ac:dyDescent="0.25">
      <c r="A64" s="35" t="s">
        <v>115</v>
      </c>
      <c r="B64" s="36">
        <v>45694</v>
      </c>
      <c r="C64" s="35" t="s">
        <v>105</v>
      </c>
      <c r="D64" s="35" t="s">
        <v>116</v>
      </c>
      <c r="E64" s="35">
        <v>36</v>
      </c>
      <c r="F64" s="35" t="str">
        <f>IF(COUNTBLANK(#REF!)=0,#REF!,"Unknown")</f>
        <v>Delhi</v>
      </c>
      <c r="G64" s="35" t="str">
        <f>IF(COUNTBLANK(#REF!)=0,#REF!,"Unknown")</f>
        <v>Salary</v>
      </c>
      <c r="H64" s="35">
        <v>87000</v>
      </c>
      <c r="I64" s="35" t="str">
        <f>IF(COUNTBLANK(#REF!)=0,#REF!,"Unknown")</f>
        <v>Transport</v>
      </c>
      <c r="J64" s="35">
        <v>4300</v>
      </c>
      <c r="K64" s="35" t="s">
        <v>0</v>
      </c>
      <c r="L64" s="35">
        <v>17000</v>
      </c>
      <c r="M64" s="35">
        <f>IF(COUNTBLANK(#REF!)=0,#REF!,0)</f>
        <v>8500</v>
      </c>
      <c r="N64" s="35">
        <v>734</v>
      </c>
      <c r="O64" s="35" t="s">
        <v>24</v>
      </c>
    </row>
    <row r="65" spans="1:15" x14ac:dyDescent="0.25">
      <c r="A65" s="35" t="s">
        <v>117</v>
      </c>
      <c r="B65" s="36">
        <v>45695</v>
      </c>
      <c r="C65" s="35" t="s">
        <v>163</v>
      </c>
      <c r="D65" s="35" t="s">
        <v>118</v>
      </c>
      <c r="E65" s="35">
        <v>24</v>
      </c>
      <c r="F65" s="35" t="str">
        <f>IF(COUNTBLANK(#REF!)=0,#REF!,"Unknown")</f>
        <v>Pune</v>
      </c>
      <c r="G65" s="35" t="str">
        <f>IF(COUNTBLANK(#REF!)=0,#REF!,"Unknown")</f>
        <v>Internship</v>
      </c>
      <c r="H65" s="35">
        <v>29000</v>
      </c>
      <c r="I65" s="35" t="str">
        <f>IF(COUNTBLANK(#REF!)=0,#REF!,"Unknown")</f>
        <v>Entertainment</v>
      </c>
      <c r="J65" s="35">
        <v>3600</v>
      </c>
      <c r="K65" s="35" t="s">
        <v>1</v>
      </c>
      <c r="L65" s="35">
        <v>3000</v>
      </c>
      <c r="M65" s="35">
        <f>IF(COUNTBLANK(#REF!)=0,#REF!,0)</f>
        <v>0</v>
      </c>
      <c r="N65" s="35">
        <v>682</v>
      </c>
      <c r="O65" s="35" t="s">
        <v>28</v>
      </c>
    </row>
    <row r="66" spans="1:15" x14ac:dyDescent="0.25">
      <c r="A66" s="35" t="s">
        <v>119</v>
      </c>
      <c r="B66" s="36">
        <v>45696</v>
      </c>
      <c r="C66" s="35" t="s">
        <v>222</v>
      </c>
      <c r="D66" s="35" t="s">
        <v>120</v>
      </c>
      <c r="E66" s="35">
        <v>41</v>
      </c>
      <c r="F66" s="35" t="str">
        <f>IF(COUNTBLANK(#REF!)=0,#REF!,"Unknown")</f>
        <v>Ahmedabad</v>
      </c>
      <c r="G66" s="35" t="str">
        <f>IF(COUNTBLANK(#REF!)=0,#REF!,"Unknown")</f>
        <v>Business</v>
      </c>
      <c r="H66" s="35">
        <v>128000</v>
      </c>
      <c r="I66" s="35" t="str">
        <f>IF(COUNTBLANK(#REF!)=0,#REF!,"Unknown")</f>
        <v>Healthcare</v>
      </c>
      <c r="J66" s="35">
        <v>7600</v>
      </c>
      <c r="K66" s="35" t="s">
        <v>46</v>
      </c>
      <c r="L66" s="35">
        <v>35000</v>
      </c>
      <c r="M66" s="35">
        <f>IF(COUNTBLANK(#REF!)=0,#REF!,0)</f>
        <v>16000</v>
      </c>
      <c r="N66" s="35">
        <v>792</v>
      </c>
      <c r="O66" s="35" t="s">
        <v>34</v>
      </c>
    </row>
    <row r="67" spans="1:15" x14ac:dyDescent="0.25">
      <c r="A67" s="35" t="s">
        <v>121</v>
      </c>
      <c r="B67" s="36">
        <v>45697</v>
      </c>
      <c r="C67" s="35" t="s">
        <v>246</v>
      </c>
      <c r="D67" s="35" t="s">
        <v>122</v>
      </c>
      <c r="E67" s="35">
        <v>32</v>
      </c>
      <c r="F67" s="35" t="str">
        <f>IF(COUNTBLANK(#REF!)=0,#REF!,"Unknown")</f>
        <v>Unknown</v>
      </c>
      <c r="G67" s="35" t="str">
        <f>IF(COUNTBLANK(#REF!)=0,#REF!,"Unknown")</f>
        <v>Salary</v>
      </c>
      <c r="H67" s="35">
        <v>71000</v>
      </c>
      <c r="I67" s="35" t="str">
        <f>IF(COUNTBLANK(#REF!)=0,#REF!,"Unknown")</f>
        <v>Unknown</v>
      </c>
      <c r="J67" s="35">
        <v>6100</v>
      </c>
      <c r="K67" s="35" t="s">
        <v>23</v>
      </c>
      <c r="L67" s="35">
        <v>11000</v>
      </c>
      <c r="M67" s="35">
        <f>IF(COUNTBLANK(#REF!)=0,#REF!,0)</f>
        <v>4500</v>
      </c>
      <c r="N67" s="35">
        <v>725</v>
      </c>
      <c r="O67" s="35" t="s">
        <v>24</v>
      </c>
    </row>
    <row r="68" spans="1:15" x14ac:dyDescent="0.25">
      <c r="A68" s="35" t="s">
        <v>123</v>
      </c>
      <c r="B68" s="36">
        <v>45698</v>
      </c>
      <c r="C68" s="35" t="s">
        <v>247</v>
      </c>
      <c r="D68" s="35" t="s">
        <v>16</v>
      </c>
      <c r="E68" s="35">
        <v>29</v>
      </c>
      <c r="F68" s="35" t="str">
        <f>IF(COUNTBLANK(#REF!)=0,#REF!,"Unknown")</f>
        <v>Kolkatta</v>
      </c>
      <c r="G68" s="35" t="str">
        <f>IF(COUNTBLANK(#REF!)=0,#REF!,"Unknown")</f>
        <v xml:space="preserve"> Salary </v>
      </c>
      <c r="H68" s="35">
        <v>65000</v>
      </c>
      <c r="I68" s="35" t="str">
        <f>IF(COUNTBLANK(#REF!)=0,#REF!,"Unknown")</f>
        <v>Rent</v>
      </c>
      <c r="J68" s="35">
        <v>18000</v>
      </c>
      <c r="K68" s="35" t="s">
        <v>1</v>
      </c>
      <c r="L68" s="35">
        <v>9000</v>
      </c>
      <c r="M68" s="35">
        <f>IF(COUNTBLANK(#REF!)=0,#REF!,0)</f>
        <v>5000</v>
      </c>
      <c r="N68" s="35">
        <v>742</v>
      </c>
      <c r="O68" s="35" t="s">
        <v>18</v>
      </c>
    </row>
    <row r="69" spans="1:15" x14ac:dyDescent="0.25">
      <c r="A69" s="35" t="s">
        <v>126</v>
      </c>
      <c r="B69" s="36">
        <v>45699</v>
      </c>
      <c r="C69" s="35" t="s">
        <v>248</v>
      </c>
      <c r="D69" s="35" t="s">
        <v>127</v>
      </c>
      <c r="E69" s="35">
        <v>27</v>
      </c>
      <c r="F69" s="35" t="str">
        <f>IF(COUNTBLANK(#REF!)=0,#REF!,"Unknown")</f>
        <v>Kolkata</v>
      </c>
      <c r="G69" s="35" t="str">
        <f>IF(COUNTBLANK(#REF!)=0,#REF!,"Unknown")</f>
        <v>Freelancing</v>
      </c>
      <c r="H69" s="35">
        <v>53000</v>
      </c>
      <c r="I69" s="35" t="str">
        <f>IF(COUNTBLANK(#REF!)=0,#REF!,"Unknown")</f>
        <v>Shopping</v>
      </c>
      <c r="J69" s="35">
        <v>7900</v>
      </c>
      <c r="K69" s="35" t="s">
        <v>1</v>
      </c>
      <c r="L69" s="35">
        <v>7000</v>
      </c>
      <c r="M69" s="35">
        <f>IF(COUNTBLANK(#REF!)=0,#REF!,0)</f>
        <v>0</v>
      </c>
      <c r="N69" s="35">
        <v>695</v>
      </c>
      <c r="O69" s="35" t="s">
        <v>28</v>
      </c>
    </row>
    <row r="70" spans="1:15" x14ac:dyDescent="0.25">
      <c r="A70" s="35" t="s">
        <v>128</v>
      </c>
      <c r="B70" s="36">
        <v>45700</v>
      </c>
      <c r="C70" s="35" t="s">
        <v>249</v>
      </c>
      <c r="D70" s="35" t="s">
        <v>129</v>
      </c>
      <c r="E70" s="35">
        <v>38</v>
      </c>
      <c r="F70" s="35" t="str">
        <f>IF(COUNTBLANK(#REF!)=0,#REF!,"Unknown")</f>
        <v>Hyderabad</v>
      </c>
      <c r="G70" s="35" t="str">
        <f>IF(COUNTBLANK(#REF!)=0,#REF!,"Unknown")</f>
        <v>Salary</v>
      </c>
      <c r="H70" s="35">
        <v>92000</v>
      </c>
      <c r="I70" s="35" t="str">
        <f>IF(COUNTBLANK(#REF!)=0,#REF!,"Unknown")</f>
        <v>Travel</v>
      </c>
      <c r="J70" s="35">
        <v>10400</v>
      </c>
      <c r="K70" s="35" t="s">
        <v>23</v>
      </c>
      <c r="L70" s="35">
        <v>20000</v>
      </c>
      <c r="M70" s="35">
        <f>IF(COUNTBLANK(#REF!)=0,#REF!,0)</f>
        <v>12000</v>
      </c>
      <c r="N70" s="35">
        <v>755</v>
      </c>
      <c r="O70" s="35" t="s">
        <v>24</v>
      </c>
    </row>
    <row r="71" spans="1:15" x14ac:dyDescent="0.25">
      <c r="A71" s="35" t="s">
        <v>130</v>
      </c>
      <c r="B71" s="36">
        <v>45701</v>
      </c>
      <c r="C71" s="35" t="s">
        <v>250</v>
      </c>
      <c r="D71" s="35" t="s">
        <v>131</v>
      </c>
      <c r="E71" s="35">
        <v>34</v>
      </c>
      <c r="F71" s="35" t="str">
        <f>IF(COUNTBLANK(#REF!)=0,#REF!,"Unknown")</f>
        <v>Chennai</v>
      </c>
      <c r="G71" s="35" t="str">
        <f>IF(COUNTBLANK(#REF!)=0,#REF!,"Unknown")</f>
        <v>Business</v>
      </c>
      <c r="H71" s="35">
        <v>142000</v>
      </c>
      <c r="I71" s="35" t="str">
        <f>IF(COUNTBLANK(#REF!)=0,#REF!,"Unknown")</f>
        <v>Investment</v>
      </c>
      <c r="J71" s="35">
        <v>36000</v>
      </c>
      <c r="K71" s="35" t="s">
        <v>33</v>
      </c>
      <c r="L71" s="35">
        <v>45000</v>
      </c>
      <c r="M71" s="35">
        <f>IF(COUNTBLANK(#REF!)=0,#REF!,0)</f>
        <v>20000</v>
      </c>
      <c r="N71" s="35">
        <v>812</v>
      </c>
      <c r="O71" s="35" t="s">
        <v>34</v>
      </c>
    </row>
    <row r="72" spans="1:15" x14ac:dyDescent="0.25">
      <c r="A72" s="35" t="s">
        <v>132</v>
      </c>
      <c r="B72" s="36">
        <v>45702</v>
      </c>
      <c r="C72" s="35" t="s">
        <v>251</v>
      </c>
      <c r="D72" s="35" t="s">
        <v>133</v>
      </c>
      <c r="E72" s="35">
        <v>43</v>
      </c>
      <c r="F72" s="35" t="str">
        <f>IF(COUNTBLANK(#REF!)=0,#REF!,"Unknown")</f>
        <v>Patna</v>
      </c>
      <c r="G72" s="35" t="str">
        <f>IF(COUNTBLANK(#REF!)=0,#REF!,"Unknown")</f>
        <v>Salary</v>
      </c>
      <c r="H72" s="35">
        <v>61000</v>
      </c>
      <c r="I72" s="35" t="str">
        <f>IF(COUNTBLANK(#REF!)=0,#REF!,"Unknown")</f>
        <v>Utilities</v>
      </c>
      <c r="J72" s="35">
        <v>5900</v>
      </c>
      <c r="K72" s="35" t="s">
        <v>0</v>
      </c>
      <c r="L72" s="35">
        <v>8000</v>
      </c>
      <c r="M72" s="35">
        <f>IF(COUNTBLANK(#REF!)=0,#REF!,0)</f>
        <v>7000</v>
      </c>
      <c r="N72" s="35">
        <v>676</v>
      </c>
      <c r="O72" s="35" t="s">
        <v>38</v>
      </c>
    </row>
    <row r="73" spans="1:15" x14ac:dyDescent="0.25">
      <c r="A73" s="35" t="s">
        <v>134</v>
      </c>
      <c r="B73" s="36">
        <v>45703</v>
      </c>
      <c r="C73" s="35" t="s">
        <v>252</v>
      </c>
      <c r="D73" s="35" t="s">
        <v>135</v>
      </c>
      <c r="E73" s="35">
        <v>29</v>
      </c>
      <c r="F73" s="35" t="str">
        <f>IF(COUNTBLANK(#REF!)=0,#REF!,"Unknown")</f>
        <v>Kolkata</v>
      </c>
      <c r="G73" s="35" t="str">
        <f>IF(COUNTBLANK(#REF!)=0,#REF!,"Unknown")</f>
        <v>Unknown</v>
      </c>
      <c r="H73" s="35">
        <v>73000</v>
      </c>
      <c r="I73" s="35" t="str">
        <f>IF(COUNTBLANK(#REF!)=0,#REF!,"Unknown")</f>
        <v>Healthcare</v>
      </c>
      <c r="J73" s="35">
        <v>4100</v>
      </c>
      <c r="K73" s="35" t="s">
        <v>1</v>
      </c>
      <c r="L73" s="35">
        <v>15000</v>
      </c>
      <c r="M73" s="35">
        <f>IF(COUNTBLANK(#REF!)=0,#REF!,0)</f>
        <v>3000</v>
      </c>
      <c r="N73" s="35">
        <v>744</v>
      </c>
      <c r="O73" s="35" t="s">
        <v>24</v>
      </c>
    </row>
    <row r="74" spans="1:15" x14ac:dyDescent="0.25">
      <c r="A74" s="35" t="s">
        <v>136</v>
      </c>
      <c r="B74" s="36">
        <v>45704</v>
      </c>
      <c r="C74" s="35" t="s">
        <v>253</v>
      </c>
      <c r="D74" s="35" t="s">
        <v>137</v>
      </c>
      <c r="E74" s="35">
        <v>37</v>
      </c>
      <c r="F74" s="35" t="str">
        <f>IF(COUNTBLANK(#REF!)=0,#REF!,"Unknown")</f>
        <v>Mumbai</v>
      </c>
      <c r="G74" s="35" t="str">
        <f>IF(COUNTBLANK(#REF!)=0,#REF!,"Unknown")</f>
        <v>Freelancing</v>
      </c>
      <c r="H74" s="35">
        <v>64000</v>
      </c>
      <c r="I74" s="35" t="str">
        <f>IF(COUNTBLANK(#REF!)=0,#REF!,"Unknown")</f>
        <v>Food</v>
      </c>
      <c r="J74" s="35">
        <v>5600</v>
      </c>
      <c r="K74" s="35" t="s">
        <v>23</v>
      </c>
      <c r="L74" s="35">
        <v>12000</v>
      </c>
      <c r="M74" s="35">
        <f>IF(COUNTBLANK(#REF!)=0,#REF!,0)</f>
        <v>2500</v>
      </c>
      <c r="N74" s="35">
        <v>718</v>
      </c>
      <c r="O74" s="35" t="s">
        <v>18</v>
      </c>
    </row>
    <row r="75" spans="1:15" x14ac:dyDescent="0.25">
      <c r="A75" s="35" t="s">
        <v>138</v>
      </c>
      <c r="B75" s="36">
        <v>45705</v>
      </c>
      <c r="C75" s="35" t="s">
        <v>15</v>
      </c>
      <c r="D75" s="35" t="s">
        <v>139</v>
      </c>
      <c r="E75" s="35">
        <v>26</v>
      </c>
      <c r="F75" s="35" t="str">
        <f>IF(COUNTBLANK(#REF!)=0,#REF!,"Unknown")</f>
        <v>Delhi</v>
      </c>
      <c r="G75" s="35" t="str">
        <f>IF(COUNTBLANK(#REF!)=0,#REF!,"Unknown")</f>
        <v>Salary</v>
      </c>
      <c r="H75" s="35">
        <v>58000</v>
      </c>
      <c r="I75" s="35" t="str">
        <f>IF(COUNTBLANK(#REF!)=0,#REF!,"Unknown")</f>
        <v>Education</v>
      </c>
      <c r="J75" s="35">
        <v>6200</v>
      </c>
      <c r="K75" s="35" t="s">
        <v>1</v>
      </c>
      <c r="L75" s="35">
        <v>9000</v>
      </c>
      <c r="M75" s="35">
        <f>IF(COUNTBLANK(#REF!)=0,#REF!,0)</f>
        <v>9800</v>
      </c>
      <c r="N75" s="35">
        <v>708</v>
      </c>
      <c r="O75" s="35" t="s">
        <v>18</v>
      </c>
    </row>
    <row r="76" spans="1:15" x14ac:dyDescent="0.25">
      <c r="A76" s="35" t="s">
        <v>140</v>
      </c>
      <c r="B76" s="36">
        <v>45706</v>
      </c>
      <c r="C76" s="35" t="s">
        <v>105</v>
      </c>
      <c r="D76" s="35" t="s">
        <v>141</v>
      </c>
      <c r="E76" s="35">
        <v>45</v>
      </c>
      <c r="F76" s="35" t="str">
        <f>IF(COUNTBLANK(#REF!)=0,#REF!,"Unknown")</f>
        <v>Bangalore</v>
      </c>
      <c r="G76" s="35" t="str">
        <f>IF(COUNTBLANK(#REF!)=0,#REF!,"Unknown")</f>
        <v>Business</v>
      </c>
      <c r="H76" s="35">
        <v>155000</v>
      </c>
      <c r="I76" s="35" t="str">
        <f>IF(COUNTBLANK(#REF!)=0,#REF!,"Unknown")</f>
        <v>Rent</v>
      </c>
      <c r="J76" s="35">
        <v>34000</v>
      </c>
      <c r="K76" s="35" t="s">
        <v>287</v>
      </c>
      <c r="L76" s="35">
        <v>50000</v>
      </c>
      <c r="M76" s="35">
        <f>IF(COUNTBLANK(#REF!)=0,#REF!,0)</f>
        <v>22000</v>
      </c>
      <c r="N76" s="35">
        <v>820</v>
      </c>
      <c r="O76" s="35" t="s">
        <v>34</v>
      </c>
    </row>
    <row r="77" spans="1:15" x14ac:dyDescent="0.25">
      <c r="A77" s="35" t="s">
        <v>142</v>
      </c>
      <c r="B77" s="36">
        <v>45707</v>
      </c>
      <c r="C77" s="35" t="s">
        <v>163</v>
      </c>
      <c r="D77" s="35" t="s">
        <v>143</v>
      </c>
      <c r="E77" s="35">
        <v>30</v>
      </c>
      <c r="F77" s="35" t="str">
        <f>IF(COUNTBLANK(#REF!)=0,#REF!,"Unknown")</f>
        <v>Kolkata</v>
      </c>
      <c r="G77" s="35" t="str">
        <f>IF(COUNTBLANK(#REF!)=0,#REF!,"Unknown")</f>
        <v>Salary</v>
      </c>
      <c r="H77" s="35">
        <v>70000</v>
      </c>
      <c r="I77" s="35" t="str">
        <f>IF(COUNTBLANK(#REF!)=0,#REF!,"Unknown")</f>
        <v>Entertainment</v>
      </c>
      <c r="J77" s="35">
        <v>5300</v>
      </c>
      <c r="K77" s="35" t="s">
        <v>23</v>
      </c>
      <c r="L77" s="35">
        <v>13000</v>
      </c>
      <c r="M77" s="35">
        <f>IF(COUNTBLANK(#REF!)=0,#REF!,0)</f>
        <v>3500</v>
      </c>
      <c r="N77" s="35">
        <v>731</v>
      </c>
      <c r="O77" s="35" t="s">
        <v>24</v>
      </c>
    </row>
    <row r="78" spans="1:15" x14ac:dyDescent="0.25">
      <c r="A78" s="35" t="s">
        <v>144</v>
      </c>
      <c r="B78" s="36">
        <v>45708</v>
      </c>
      <c r="C78" s="35" t="s">
        <v>222</v>
      </c>
      <c r="D78" s="35" t="s">
        <v>145</v>
      </c>
      <c r="E78" s="35">
        <v>35</v>
      </c>
      <c r="F78" s="35" t="str">
        <f>IF(COUNTBLANK(#REF!)=0,#REF!,"Unknown")</f>
        <v>Delhi</v>
      </c>
      <c r="G78" s="35" t="str">
        <f>IF(COUNTBLANK(#REF!)=0,#REF!,"Unknown")</f>
        <v>Salary</v>
      </c>
      <c r="H78" s="35">
        <v>84000</v>
      </c>
      <c r="I78" s="35" t="str">
        <f>IF(COUNTBLANK(#REF!)=0,#REF!,"Unknown")</f>
        <v>Transport</v>
      </c>
      <c r="J78" s="35">
        <v>4800</v>
      </c>
      <c r="K78" s="35" t="s">
        <v>0</v>
      </c>
      <c r="L78" s="35">
        <v>16000</v>
      </c>
      <c r="M78" s="35">
        <f>IF(COUNTBLANK(#REF!)=0,#REF!,0)</f>
        <v>9000</v>
      </c>
      <c r="N78" s="35">
        <v>726</v>
      </c>
      <c r="O78" s="35" t="s">
        <v>18</v>
      </c>
    </row>
    <row r="79" spans="1:15" x14ac:dyDescent="0.25">
      <c r="A79" s="35" t="s">
        <v>146</v>
      </c>
      <c r="B79" s="36">
        <v>45709</v>
      </c>
      <c r="C79" s="35" t="s">
        <v>246</v>
      </c>
      <c r="D79" s="35" t="s">
        <v>147</v>
      </c>
      <c r="E79" s="35">
        <v>28</v>
      </c>
      <c r="F79" s="35" t="str">
        <f>IF(COUNTBLANK(#REF!)=0,#REF!,"Unknown")</f>
        <v>Unknown</v>
      </c>
      <c r="G79" s="35" t="str">
        <f>IF(COUNTBLANK(#REF!)=0,#REF!,"Unknown")</f>
        <v>Freelancing</v>
      </c>
      <c r="H79" s="35">
        <v>55000</v>
      </c>
      <c r="I79" s="35" t="str">
        <f>IF(COUNTBLANK(#REF!)=0,#REF!,"Unknown")</f>
        <v>Shopping</v>
      </c>
      <c r="J79" s="35">
        <v>8300</v>
      </c>
      <c r="K79" s="35" t="s">
        <v>1</v>
      </c>
      <c r="L79" s="35">
        <v>8500</v>
      </c>
      <c r="M79" s="35">
        <f>IF(COUNTBLANK(#REF!)=0,#REF!,0)</f>
        <v>0</v>
      </c>
      <c r="N79" s="35">
        <v>699</v>
      </c>
      <c r="O79" s="35" t="s">
        <v>28</v>
      </c>
    </row>
    <row r="80" spans="1:15" x14ac:dyDescent="0.25">
      <c r="A80" s="35" t="s">
        <v>148</v>
      </c>
      <c r="B80" s="36">
        <v>45710</v>
      </c>
      <c r="C80" s="35" t="s">
        <v>247</v>
      </c>
      <c r="D80" s="35" t="s">
        <v>149</v>
      </c>
      <c r="E80" s="35">
        <v>40</v>
      </c>
      <c r="F80" s="35" t="str">
        <f>IF(COUNTBLANK(#REF!)=0,#REF!,"Unknown")</f>
        <v>Ahmedabad</v>
      </c>
      <c r="G80" s="35" t="str">
        <f>IF(COUNTBLANK(#REF!)=0,#REF!,"Unknown")</f>
        <v>Business</v>
      </c>
      <c r="H80" s="35">
        <v>134000</v>
      </c>
      <c r="I80" s="35" t="str">
        <f>IF(COUNTBLANK(#REF!)=0,#REF!,"Unknown")</f>
        <v>Investment</v>
      </c>
      <c r="J80" s="35">
        <v>31000</v>
      </c>
      <c r="K80" s="35" t="s">
        <v>33</v>
      </c>
      <c r="L80" s="35">
        <v>39000</v>
      </c>
      <c r="M80" s="35">
        <f>IF(COUNTBLANK(#REF!)=0,#REF!,0)</f>
        <v>17000</v>
      </c>
      <c r="N80" s="35">
        <v>803</v>
      </c>
      <c r="O80" s="35" t="s">
        <v>34</v>
      </c>
    </row>
    <row r="81" spans="1:15" x14ac:dyDescent="0.25">
      <c r="A81" s="35" t="s">
        <v>150</v>
      </c>
      <c r="B81" s="36">
        <v>45711</v>
      </c>
      <c r="C81" s="35" t="s">
        <v>248</v>
      </c>
      <c r="D81" s="35" t="s">
        <v>151</v>
      </c>
      <c r="E81" s="35">
        <v>31</v>
      </c>
      <c r="F81" s="35" t="str">
        <f>IF(COUNTBLANK(#REF!)=0,#REF!,"Unknown")</f>
        <v>Mumbai</v>
      </c>
      <c r="G81" s="35" t="str">
        <f>IF(COUNTBLANK(#REF!)=0,#REF!,"Unknown")</f>
        <v>Salary</v>
      </c>
      <c r="H81" s="35">
        <v>76000</v>
      </c>
      <c r="I81" s="35" t="str">
        <f>IF(COUNTBLANK(#REF!)=0,#REF!,"Unknown")</f>
        <v>Groceries</v>
      </c>
      <c r="J81" s="35">
        <v>6800</v>
      </c>
      <c r="K81" s="35" t="s">
        <v>23</v>
      </c>
      <c r="L81" s="35">
        <v>14000</v>
      </c>
      <c r="M81" s="35">
        <f>IF(COUNTBLANK(#REF!)=0,#REF!,0)</f>
        <v>4000</v>
      </c>
      <c r="N81" s="35">
        <v>739</v>
      </c>
      <c r="O81" s="35" t="s">
        <v>24</v>
      </c>
    </row>
    <row r="82" spans="1:15" x14ac:dyDescent="0.25">
      <c r="A82" s="35" t="s">
        <v>152</v>
      </c>
      <c r="B82" s="36">
        <v>45712</v>
      </c>
      <c r="C82" s="35" t="s">
        <v>249</v>
      </c>
      <c r="D82" s="35" t="s">
        <v>153</v>
      </c>
      <c r="E82" s="35">
        <v>27</v>
      </c>
      <c r="F82" s="35" t="str">
        <f>IF(COUNTBLANK(#REF!)=0,#REF!,"Unknown")</f>
        <v>Kolkata</v>
      </c>
      <c r="G82" s="35" t="str">
        <f>IF(COUNTBLANK(#REF!)=0,#REF!,"Unknown")</f>
        <v>Salary</v>
      </c>
      <c r="H82" s="35">
        <v>61000</v>
      </c>
      <c r="I82" s="35" t="str">
        <f>IF(COUNTBLANK(#REF!)=0,#REF!,"Unknown")</f>
        <v>Rent</v>
      </c>
      <c r="J82" s="35">
        <v>17500</v>
      </c>
      <c r="K82" s="35" t="s">
        <v>1</v>
      </c>
      <c r="L82" s="35">
        <v>10000</v>
      </c>
      <c r="M82" s="35">
        <f>IF(COUNTBLANK(#REF!)=0,#REF!,0)</f>
        <v>3500</v>
      </c>
      <c r="N82" s="35">
        <v>714</v>
      </c>
      <c r="O82" s="35" t="s">
        <v>18</v>
      </c>
    </row>
    <row r="83" spans="1:15" x14ac:dyDescent="0.25">
      <c r="A83" s="35" t="s">
        <v>154</v>
      </c>
      <c r="B83" s="36">
        <v>45713</v>
      </c>
      <c r="C83" s="35" t="s">
        <v>250</v>
      </c>
      <c r="D83" s="35" t="s">
        <v>155</v>
      </c>
      <c r="E83" s="35">
        <v>33</v>
      </c>
      <c r="F83" s="35" t="str">
        <f>IF(COUNTBLANK(#REF!)=0,#REF!,"Unknown")</f>
        <v>Delhi</v>
      </c>
      <c r="G83" s="35" t="str">
        <f>IF(COUNTBLANK(#REF!)=0,#REF!,"Unknown")</f>
        <v>Salary</v>
      </c>
      <c r="H83" s="35">
        <v>85000</v>
      </c>
      <c r="I83" s="35" t="str">
        <f>IF(COUNTBLANK(#REF!)=0,#REF!,"Unknown")</f>
        <v>Healthcare</v>
      </c>
      <c r="J83" s="35">
        <v>5200</v>
      </c>
      <c r="K83" s="35" t="s">
        <v>33</v>
      </c>
      <c r="L83" s="35">
        <v>18000</v>
      </c>
      <c r="M83" s="35">
        <f>IF(COUNTBLANK(#REF!)=0,#REF!,0)</f>
        <v>8000</v>
      </c>
      <c r="N83" s="35">
        <v>748</v>
      </c>
      <c r="O83" s="35" t="s">
        <v>24</v>
      </c>
    </row>
    <row r="84" spans="1:15" x14ac:dyDescent="0.25">
      <c r="A84" s="35" t="s">
        <v>156</v>
      </c>
      <c r="B84" s="36">
        <v>45714</v>
      </c>
      <c r="C84" s="35" t="s">
        <v>251</v>
      </c>
      <c r="D84" s="35" t="s">
        <v>157</v>
      </c>
      <c r="E84" s="35">
        <v>24</v>
      </c>
      <c r="F84" s="35" t="str">
        <f>IF(COUNTBLANK(#REF!)=0,#REF!,"Unknown")</f>
        <v>Kolkata</v>
      </c>
      <c r="G84" s="35" t="str">
        <f>IF(COUNTBLANK(#REF!)=0,#REF!,"Unknown")</f>
        <v>Internship</v>
      </c>
      <c r="H84" s="35">
        <v>27000</v>
      </c>
      <c r="I84" s="35" t="str">
        <f>IF(COUNTBLANK(#REF!)=0,#REF!,"Unknown")</f>
        <v>Food</v>
      </c>
      <c r="J84" s="35">
        <v>3900</v>
      </c>
      <c r="K84" s="35" t="s">
        <v>0</v>
      </c>
      <c r="L84" s="35">
        <v>2500</v>
      </c>
      <c r="M84" s="35">
        <f>IF(COUNTBLANK(#REF!)=0,#REF!,0)</f>
        <v>0</v>
      </c>
      <c r="N84" s="35">
        <v>671</v>
      </c>
      <c r="O84" s="35" t="s">
        <v>28</v>
      </c>
    </row>
    <row r="85" spans="1:15" x14ac:dyDescent="0.25">
      <c r="A85" s="35" t="s">
        <v>158</v>
      </c>
      <c r="B85" s="36">
        <v>45715</v>
      </c>
      <c r="C85" s="35" t="s">
        <v>252</v>
      </c>
      <c r="D85" s="35" t="s">
        <v>159</v>
      </c>
      <c r="E85" s="35">
        <v>39</v>
      </c>
      <c r="F85" s="35" t="str">
        <f>IF(COUNTBLANK(#REF!)=0,#REF!,"Unknown")</f>
        <v>Chandigarh</v>
      </c>
      <c r="G85" s="35" t="str">
        <f>IF(COUNTBLANK(#REF!)=0,#REF!,"Unknown")</f>
        <v>Unknown</v>
      </c>
      <c r="H85" s="35">
        <v>126000</v>
      </c>
      <c r="I85" s="35" t="str">
        <f>IF(COUNTBLANK(#REF!)=0,#REF!,"Unknown")</f>
        <v>Travel</v>
      </c>
      <c r="J85" s="35">
        <v>11200</v>
      </c>
      <c r="K85" s="35" t="s">
        <v>23</v>
      </c>
      <c r="L85" s="35">
        <v>32000</v>
      </c>
      <c r="M85" s="35">
        <f>IF(COUNTBLANK(#REF!)=0,#REF!,0)</f>
        <v>15000</v>
      </c>
      <c r="N85" s="35">
        <v>791</v>
      </c>
      <c r="O85" s="35" t="s">
        <v>34</v>
      </c>
    </row>
    <row r="86" spans="1:15" x14ac:dyDescent="0.25">
      <c r="A86" s="35" t="s">
        <v>160</v>
      </c>
      <c r="B86" s="36">
        <v>45716</v>
      </c>
      <c r="C86" s="35" t="s">
        <v>253</v>
      </c>
      <c r="D86" s="35" t="s">
        <v>161</v>
      </c>
      <c r="E86" s="35">
        <v>29</v>
      </c>
      <c r="F86" s="35" t="str">
        <f>IF(COUNTBLANK(#REF!)=0,#REF!,"Unknown")</f>
        <v>Jaipur</v>
      </c>
      <c r="G86" s="35" t="str">
        <f>IF(COUNTBLANK(#REF!)=0,#REF!,"Unknown")</f>
        <v>Salary</v>
      </c>
      <c r="H86" s="35">
        <v>68000</v>
      </c>
      <c r="I86" s="35" t="str">
        <f>IF(COUNTBLANK(#REF!)=0,#REF!,"Unknown")</f>
        <v>Shopping</v>
      </c>
      <c r="J86" s="35">
        <v>7200</v>
      </c>
      <c r="K86" s="35" t="s">
        <v>1</v>
      </c>
      <c r="L86" s="35">
        <v>12000</v>
      </c>
      <c r="M86" s="35">
        <f>IF(COUNTBLANK(#REF!)=0,#REF!,0)</f>
        <v>2500</v>
      </c>
      <c r="N86" s="35">
        <v>733</v>
      </c>
      <c r="O86" s="35" t="s">
        <v>24</v>
      </c>
    </row>
    <row r="87" spans="1:15" x14ac:dyDescent="0.25">
      <c r="A87" s="35" t="s">
        <v>162</v>
      </c>
      <c r="B87" s="36">
        <v>45717</v>
      </c>
      <c r="C87" s="35" t="s">
        <v>15</v>
      </c>
      <c r="D87" s="35" t="s">
        <v>164</v>
      </c>
      <c r="E87" s="35">
        <v>36</v>
      </c>
      <c r="F87" s="35" t="str">
        <f>IF(COUNTBLANK(#REF!)=0,#REF!,"Unknown")</f>
        <v>Kolkata</v>
      </c>
      <c r="G87" s="35" t="str">
        <f>IF(COUNTBLANK(#REF!)=0,#REF!,"Unknown")</f>
        <v>Salary</v>
      </c>
      <c r="H87" s="35">
        <v>79000</v>
      </c>
      <c r="I87" s="35" t="str">
        <f>IF(COUNTBLANK(#REF!)=0,#REF!,"Unknown")</f>
        <v>Utilities</v>
      </c>
      <c r="J87" s="35">
        <v>6100</v>
      </c>
      <c r="K87" s="35" t="s">
        <v>23</v>
      </c>
      <c r="L87" s="35">
        <v>17000</v>
      </c>
      <c r="M87" s="35">
        <f>IF(COUNTBLANK(#REF!)=0,#REF!,0)</f>
        <v>6500</v>
      </c>
      <c r="N87" s="35">
        <v>742</v>
      </c>
      <c r="O87" s="35" t="s">
        <v>24</v>
      </c>
    </row>
    <row r="88" spans="1:15" x14ac:dyDescent="0.25">
      <c r="A88" s="35" t="s">
        <v>165</v>
      </c>
      <c r="B88" s="36">
        <v>45718</v>
      </c>
      <c r="C88" s="35" t="s">
        <v>105</v>
      </c>
      <c r="D88" s="35" t="s">
        <v>166</v>
      </c>
      <c r="E88" s="35">
        <v>25</v>
      </c>
      <c r="F88" s="35" t="str">
        <f>IF(COUNTBLANK(#REF!)=0,#REF!,"Unknown")</f>
        <v>Pune</v>
      </c>
      <c r="G88" s="35" t="str">
        <f>IF(COUNTBLANK(#REF!)=0,#REF!,"Unknown")</f>
        <v>Freelancing</v>
      </c>
      <c r="H88" s="35">
        <v>49000</v>
      </c>
      <c r="I88" s="35" t="str">
        <f>IF(COUNTBLANK(#REF!)=0,#REF!,"Unknown")</f>
        <v>Entertainment</v>
      </c>
      <c r="J88" s="35">
        <v>4700</v>
      </c>
      <c r="K88" s="35" t="s">
        <v>287</v>
      </c>
      <c r="L88" s="35">
        <v>6000</v>
      </c>
      <c r="M88" s="35">
        <f>IF(COUNTBLANK(#REF!)=0,#REF!,0)</f>
        <v>8000</v>
      </c>
      <c r="N88" s="35">
        <v>687</v>
      </c>
      <c r="O88" s="35" t="s">
        <v>28</v>
      </c>
    </row>
    <row r="89" spans="1:15" x14ac:dyDescent="0.25">
      <c r="A89" s="35" t="s">
        <v>167</v>
      </c>
      <c r="B89" s="36">
        <v>45719</v>
      </c>
      <c r="C89" s="35" t="s">
        <v>163</v>
      </c>
      <c r="D89" s="35" t="s">
        <v>168</v>
      </c>
      <c r="E89" s="35">
        <v>42</v>
      </c>
      <c r="F89" s="35" t="str">
        <f>IF(COUNTBLANK(#REF!)=0,#REF!,"Unknown")</f>
        <v>Patna</v>
      </c>
      <c r="G89" s="35" t="str">
        <f>IF(COUNTBLANK(#REF!)=0,#REF!,"Unknown")</f>
        <v>Business</v>
      </c>
      <c r="H89" s="35">
        <v>146000</v>
      </c>
      <c r="I89" s="35" t="str">
        <f>IF(COUNTBLANK(#REF!)=0,#REF!,"Unknown")</f>
        <v>Investment</v>
      </c>
      <c r="J89" s="35">
        <v>39000</v>
      </c>
      <c r="K89" s="35" t="s">
        <v>46</v>
      </c>
      <c r="L89" s="35">
        <v>47000</v>
      </c>
      <c r="M89" s="35">
        <f>IF(COUNTBLANK(#REF!)=0,#REF!,0)</f>
        <v>21000</v>
      </c>
      <c r="N89" s="35">
        <v>809</v>
      </c>
      <c r="O89" s="35" t="s">
        <v>34</v>
      </c>
    </row>
    <row r="90" spans="1:15" x14ac:dyDescent="0.25">
      <c r="A90" s="35" t="s">
        <v>169</v>
      </c>
      <c r="B90" s="36">
        <v>45720</v>
      </c>
      <c r="C90" s="35" t="s">
        <v>222</v>
      </c>
      <c r="D90" s="35" t="s">
        <v>170</v>
      </c>
      <c r="E90" s="35">
        <v>31</v>
      </c>
      <c r="F90" s="35" t="str">
        <f>IF(COUNTBLANK(#REF!)=0,#REF!,"Unknown")</f>
        <v>Kolkata</v>
      </c>
      <c r="G90" s="35" t="str">
        <f>IF(COUNTBLANK(#REF!)=0,#REF!,"Unknown")</f>
        <v>Salary</v>
      </c>
      <c r="H90" s="35">
        <v>71000</v>
      </c>
      <c r="I90" s="35" t="str">
        <f>IF(COUNTBLANK(#REF!)=0,#REF!,"Unknown")</f>
        <v>Healthcare</v>
      </c>
      <c r="J90" s="35">
        <v>4500</v>
      </c>
      <c r="K90" s="35" t="s">
        <v>1</v>
      </c>
      <c r="L90" s="35">
        <v>14000</v>
      </c>
      <c r="M90" s="35">
        <f>IF(COUNTBLANK(#REF!)=0,#REF!,0)</f>
        <v>3500</v>
      </c>
      <c r="N90" s="35">
        <v>737</v>
      </c>
      <c r="O90" s="35" t="s">
        <v>24</v>
      </c>
    </row>
    <row r="91" spans="1:15" x14ac:dyDescent="0.25">
      <c r="A91" s="35" t="s">
        <v>171</v>
      </c>
      <c r="B91" s="36">
        <v>45721</v>
      </c>
      <c r="C91" s="35" t="s">
        <v>246</v>
      </c>
      <c r="D91" s="35" t="s">
        <v>172</v>
      </c>
      <c r="E91" s="35">
        <v>28</v>
      </c>
      <c r="F91" s="35" t="str">
        <f>IF(COUNTBLANK(#REF!)=0,#REF!,"Unknown")</f>
        <v>Unknown</v>
      </c>
      <c r="G91" s="35" t="str">
        <f>IF(COUNTBLANK(#REF!)=0,#REF!,"Unknown")</f>
        <v>Salary</v>
      </c>
      <c r="H91" s="35">
        <v>64000</v>
      </c>
      <c r="I91" s="35" t="str">
        <f>IF(COUNTBLANK(#REF!)=0,#REF!,"Unknown")</f>
        <v>Transport</v>
      </c>
      <c r="J91" s="35">
        <v>5100</v>
      </c>
      <c r="K91" s="35" t="s">
        <v>0</v>
      </c>
      <c r="L91" s="35">
        <v>11000</v>
      </c>
      <c r="M91" s="35">
        <f>IF(COUNTBLANK(#REF!)=0,#REF!,0)</f>
        <v>4000</v>
      </c>
      <c r="N91" s="35">
        <v>716</v>
      </c>
      <c r="O91" s="35" t="s">
        <v>18</v>
      </c>
    </row>
    <row r="92" spans="1:15" x14ac:dyDescent="0.25">
      <c r="A92" s="35" t="s">
        <v>173</v>
      </c>
      <c r="B92" s="36">
        <v>45722</v>
      </c>
      <c r="C92" s="35" t="s">
        <v>247</v>
      </c>
      <c r="D92" s="35" t="s">
        <v>174</v>
      </c>
      <c r="E92" s="35">
        <v>27</v>
      </c>
      <c r="F92" s="35" t="str">
        <f>IF(COUNTBLANK(#REF!)=0,#REF!,"Unknown")</f>
        <v>Kolkata</v>
      </c>
      <c r="G92" s="35" t="str">
        <f>IF(COUNTBLANK(#REF!)=0,#REF!,"Unknown")</f>
        <v>Freelancing</v>
      </c>
      <c r="H92" s="35">
        <v>54000</v>
      </c>
      <c r="I92" s="35" t="str">
        <f>IF(COUNTBLANK(#REF!)=0,#REF!,"Unknown")</f>
        <v>Food</v>
      </c>
      <c r="J92" s="35">
        <v>5900</v>
      </c>
      <c r="K92" s="35" t="s">
        <v>23</v>
      </c>
      <c r="L92" s="35">
        <v>7000</v>
      </c>
      <c r="M92" s="35">
        <f>IF(COUNTBLANK(#REF!)=0,#REF!,0)</f>
        <v>0</v>
      </c>
      <c r="N92" s="35">
        <v>697</v>
      </c>
      <c r="O92" s="35" t="s">
        <v>28</v>
      </c>
    </row>
    <row r="93" spans="1:15" x14ac:dyDescent="0.25">
      <c r="A93" s="35" t="s">
        <v>175</v>
      </c>
      <c r="B93" s="36">
        <v>45723</v>
      </c>
      <c r="C93" s="35" t="s">
        <v>248</v>
      </c>
      <c r="D93" s="35" t="s">
        <v>176</v>
      </c>
      <c r="E93" s="35">
        <v>44</v>
      </c>
      <c r="F93" s="35" t="str">
        <f>IF(COUNTBLANK(#REF!)=0,#REF!,"Unknown")</f>
        <v>Mumbai</v>
      </c>
      <c r="G93" s="35" t="str">
        <f>IF(COUNTBLANK(#REF!)=0,#REF!,"Unknown")</f>
        <v>Business</v>
      </c>
      <c r="H93" s="35">
        <v>152000</v>
      </c>
      <c r="I93" s="35" t="str">
        <f>IF(COUNTBLANK(#REF!)=0,#REF!,"Unknown")</f>
        <v>Rent</v>
      </c>
      <c r="J93" s="35">
        <v>36000</v>
      </c>
      <c r="K93" s="35" t="s">
        <v>33</v>
      </c>
      <c r="L93" s="35">
        <v>52000</v>
      </c>
      <c r="M93" s="35">
        <f>IF(COUNTBLANK(#REF!)=0,#REF!,0)</f>
        <v>24000</v>
      </c>
      <c r="N93" s="35">
        <v>818</v>
      </c>
      <c r="O93" s="35" t="s">
        <v>34</v>
      </c>
    </row>
    <row r="94" spans="1:15" x14ac:dyDescent="0.25">
      <c r="A94" s="35" t="s">
        <v>177</v>
      </c>
      <c r="B94" s="36">
        <v>45724</v>
      </c>
      <c r="C94" s="35" t="s">
        <v>249</v>
      </c>
      <c r="D94" s="35" t="s">
        <v>178</v>
      </c>
      <c r="E94" s="35">
        <v>30</v>
      </c>
      <c r="F94" s="35" t="str">
        <f>IF(COUNTBLANK(#REF!)=0,#REF!,"Unknown")</f>
        <v>Delhi</v>
      </c>
      <c r="G94" s="35" t="str">
        <f>IF(COUNTBLANK(#REF!)=0,#REF!,"Unknown")</f>
        <v>Unknown</v>
      </c>
      <c r="H94" s="35">
        <v>73000</v>
      </c>
      <c r="I94" s="35" t="str">
        <f>IF(COUNTBLANK(#REF!)=0,#REF!,"Unknown")</f>
        <v>Shopping</v>
      </c>
      <c r="J94" s="35">
        <v>8400</v>
      </c>
      <c r="K94" s="35" t="s">
        <v>1</v>
      </c>
      <c r="L94" s="35">
        <v>13000</v>
      </c>
      <c r="M94" s="35">
        <f>IF(COUNTBLANK(#REF!)=0,#REF!,0)</f>
        <v>5000</v>
      </c>
      <c r="N94" s="35">
        <v>729</v>
      </c>
      <c r="O94" s="35" t="s">
        <v>24</v>
      </c>
    </row>
    <row r="95" spans="1:15" x14ac:dyDescent="0.25">
      <c r="A95" s="35" t="s">
        <v>179</v>
      </c>
      <c r="B95" s="36">
        <v>45725</v>
      </c>
      <c r="C95" s="35" t="s">
        <v>250</v>
      </c>
      <c r="D95" s="35" t="s">
        <v>180</v>
      </c>
      <c r="E95" s="35">
        <v>35</v>
      </c>
      <c r="F95" s="35" t="str">
        <f>IF(COUNTBLANK(#REF!)=0,#REF!,"Unknown")</f>
        <v>Kolkata</v>
      </c>
      <c r="G95" s="35" t="str">
        <f>IF(COUNTBLANK(#REF!)=0,#REF!,"Unknown")</f>
        <v>Salary</v>
      </c>
      <c r="H95" s="35">
        <v>82000</v>
      </c>
      <c r="I95" s="35" t="str">
        <f>IF(COUNTBLANK(#REF!)=0,#REF!,"Unknown")</f>
        <v>Travel</v>
      </c>
      <c r="J95" s="35">
        <v>9800</v>
      </c>
      <c r="K95" s="35" t="s">
        <v>23</v>
      </c>
      <c r="L95" s="35">
        <v>19000</v>
      </c>
      <c r="M95" s="35">
        <f>IF(COUNTBLANK(#REF!)=0,#REF!,0)</f>
        <v>9000</v>
      </c>
      <c r="N95" s="35">
        <v>745</v>
      </c>
      <c r="O95" s="35" t="s">
        <v>24</v>
      </c>
    </row>
    <row r="96" spans="1:15" x14ac:dyDescent="0.25">
      <c r="A96" s="35" t="s">
        <v>181</v>
      </c>
      <c r="B96" s="36">
        <v>45726</v>
      </c>
      <c r="C96" s="35" t="s">
        <v>251</v>
      </c>
      <c r="D96" s="35" t="s">
        <v>182</v>
      </c>
      <c r="E96" s="35">
        <v>26</v>
      </c>
      <c r="F96" s="35" t="str">
        <f>IF(COUNTBLANK(#REF!)=0,#REF!,"Unknown")</f>
        <v>Kochi</v>
      </c>
      <c r="G96" s="35" t="str">
        <f>IF(COUNTBLANK(#REF!)=0,#REF!,"Unknown")</f>
        <v>Freelancing</v>
      </c>
      <c r="H96" s="35">
        <v>51000</v>
      </c>
      <c r="I96" s="35" t="str">
        <f>IF(COUNTBLANK(#REF!)=0,#REF!,"Unknown")</f>
        <v>Unknown</v>
      </c>
      <c r="J96" s="35">
        <v>4300</v>
      </c>
      <c r="K96" s="35" t="s">
        <v>1</v>
      </c>
      <c r="L96" s="35">
        <v>6500</v>
      </c>
      <c r="M96" s="35">
        <f>IF(COUNTBLANK(#REF!)=0,#REF!,0)</f>
        <v>7000</v>
      </c>
      <c r="N96" s="35">
        <v>692</v>
      </c>
      <c r="O96" s="35" t="s">
        <v>28</v>
      </c>
    </row>
    <row r="97" spans="1:15" x14ac:dyDescent="0.25">
      <c r="A97" s="35" t="s">
        <v>183</v>
      </c>
      <c r="B97" s="36">
        <v>45727</v>
      </c>
      <c r="C97" s="35" t="s">
        <v>252</v>
      </c>
      <c r="D97" s="35" t="s">
        <v>184</v>
      </c>
      <c r="E97" s="35">
        <v>41</v>
      </c>
      <c r="F97" s="35" t="str">
        <f>IF(COUNTBLANK(#REF!)=0,#REF!,"Unknown")</f>
        <v>Ahmedabad</v>
      </c>
      <c r="G97" s="35" t="str">
        <f>IF(COUNTBLANK(#REF!)=0,#REF!,"Unknown")</f>
        <v>Business</v>
      </c>
      <c r="H97" s="35">
        <v>129000</v>
      </c>
      <c r="I97" s="35" t="str">
        <f>IF(COUNTBLANK(#REF!)=0,#REF!,"Unknown")</f>
        <v>Investment</v>
      </c>
      <c r="J97" s="35">
        <v>30000</v>
      </c>
      <c r="K97" s="35" t="s">
        <v>46</v>
      </c>
      <c r="L97" s="35">
        <v>36000</v>
      </c>
      <c r="M97" s="35">
        <f>IF(COUNTBLANK(#REF!)=0,#REF!,0)</f>
        <v>16000</v>
      </c>
      <c r="N97" s="35">
        <v>796</v>
      </c>
      <c r="O97" s="35" t="s">
        <v>34</v>
      </c>
    </row>
    <row r="98" spans="1:15" x14ac:dyDescent="0.25">
      <c r="A98" s="35" t="s">
        <v>185</v>
      </c>
      <c r="B98" s="36">
        <v>45728</v>
      </c>
      <c r="C98" s="35" t="s">
        <v>253</v>
      </c>
      <c r="D98" s="35" t="s">
        <v>186</v>
      </c>
      <c r="E98" s="35">
        <v>32</v>
      </c>
      <c r="F98" s="35" t="str">
        <f>IF(COUNTBLANK(#REF!)=0,#REF!,"Unknown")</f>
        <v>Kolkata</v>
      </c>
      <c r="G98" s="35" t="str">
        <f>IF(COUNTBLANK(#REF!)=0,#REF!,"Unknown")</f>
        <v>Salary</v>
      </c>
      <c r="H98" s="35">
        <v>69000</v>
      </c>
      <c r="I98" s="35" t="str">
        <f>IF(COUNTBLANK(#REF!)=0,#REF!,"Unknown")</f>
        <v>Groceries</v>
      </c>
      <c r="J98" s="35">
        <v>6700</v>
      </c>
      <c r="K98" s="35" t="s">
        <v>23</v>
      </c>
      <c r="L98" s="35">
        <v>12500</v>
      </c>
      <c r="M98" s="35">
        <f>IF(COUNTBLANK(#REF!)=0,#REF!,0)</f>
        <v>3000</v>
      </c>
      <c r="N98" s="35">
        <v>734</v>
      </c>
      <c r="O98" s="35" t="s">
        <v>24</v>
      </c>
    </row>
    <row r="99" spans="1:15" x14ac:dyDescent="0.25">
      <c r="A99" s="35" t="s">
        <v>187</v>
      </c>
      <c r="B99" s="36">
        <v>45729</v>
      </c>
      <c r="C99" s="35" t="s">
        <v>15</v>
      </c>
      <c r="D99" s="35" t="s">
        <v>188</v>
      </c>
      <c r="E99" s="35">
        <v>29</v>
      </c>
      <c r="F99" s="35" t="str">
        <f>IF(COUNTBLANK(#REF!)=0,#REF!,"Unknown")</f>
        <v>Delhi</v>
      </c>
      <c r="G99" s="35" t="str">
        <f>IF(COUNTBLANK(#REF!)=0,#REF!,"Unknown")</f>
        <v>Salary</v>
      </c>
      <c r="H99" s="35">
        <v>66000</v>
      </c>
      <c r="I99" s="35" t="str">
        <f>IF(COUNTBLANK(#REF!)=0,#REF!,"Unknown")</f>
        <v>Rent</v>
      </c>
      <c r="J99" s="35">
        <v>20000</v>
      </c>
      <c r="K99" s="35" t="s">
        <v>1</v>
      </c>
      <c r="L99" s="35">
        <v>9000</v>
      </c>
      <c r="M99" s="35">
        <f>IF(COUNTBLANK(#REF!)=0,#REF!,0)</f>
        <v>4500</v>
      </c>
      <c r="N99" s="35">
        <v>710</v>
      </c>
      <c r="O99" s="35" t="s">
        <v>18</v>
      </c>
    </row>
    <row r="100" spans="1:15" x14ac:dyDescent="0.25">
      <c r="A100" s="35" t="s">
        <v>189</v>
      </c>
      <c r="B100" s="36">
        <v>45730</v>
      </c>
      <c r="C100" s="35" t="s">
        <v>105</v>
      </c>
      <c r="D100" s="35" t="s">
        <v>190</v>
      </c>
      <c r="E100" s="35">
        <v>24</v>
      </c>
      <c r="F100" s="35" t="str">
        <f>IF(COUNTBLANK(#REF!)=0,#REF!,"Unknown")</f>
        <v>Unknown</v>
      </c>
      <c r="G100" s="35" t="str">
        <f>IF(COUNTBLANK(#REF!)=0,#REF!,"Unknown")</f>
        <v>Unknown</v>
      </c>
      <c r="H100" s="35">
        <v>32000</v>
      </c>
      <c r="I100" s="35" t="str">
        <f>IF(COUNTBLANK(#REF!)=0,#REF!,"Unknown")</f>
        <v>Unknown</v>
      </c>
      <c r="J100" s="35">
        <v>3900</v>
      </c>
      <c r="K100" s="35" t="s">
        <v>287</v>
      </c>
      <c r="L100" s="35">
        <v>3500</v>
      </c>
      <c r="M100" s="35">
        <f>IF(COUNTBLANK(#REF!)=0,#REF!,0)</f>
        <v>0</v>
      </c>
      <c r="N100" s="35">
        <v>678</v>
      </c>
      <c r="O100" s="35" t="s">
        <v>28</v>
      </c>
    </row>
  </sheetData>
  <mergeCells count="1">
    <mergeCell ref="A1:O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1"/>
  <sheetViews>
    <sheetView zoomScale="118" zoomScaleNormal="118" workbookViewId="0">
      <selection activeCell="G10" sqref="G10"/>
    </sheetView>
  </sheetViews>
  <sheetFormatPr defaultRowHeight="15" x14ac:dyDescent="0.25"/>
  <cols>
    <col min="1" max="1" width="12.42578125" customWidth="1"/>
    <col min="2" max="3" width="17.28515625" customWidth="1"/>
    <col min="4" max="4" width="16.7109375" customWidth="1"/>
    <col min="5" max="5" width="19" customWidth="1"/>
    <col min="6" max="6" width="18.7109375" customWidth="1"/>
    <col min="8" max="8" width="17.42578125" customWidth="1"/>
    <col min="9" max="9" width="16" bestFit="1" customWidth="1"/>
    <col min="10" max="10" width="12" bestFit="1" customWidth="1"/>
    <col min="13" max="13" width="15.42578125" bestFit="1" customWidth="1"/>
  </cols>
  <sheetData>
    <row r="1" spans="1:15" ht="45.75" customHeight="1" x14ac:dyDescent="0.7">
      <c r="A1" s="78" t="s">
        <v>265</v>
      </c>
      <c r="B1" s="79"/>
      <c r="C1" s="79"/>
      <c r="D1" s="79"/>
      <c r="E1" s="79"/>
      <c r="F1" s="79"/>
      <c r="G1" s="79"/>
      <c r="H1" s="79"/>
      <c r="I1" s="79"/>
    </row>
    <row r="2" spans="1:15" x14ac:dyDescent="0.25">
      <c r="A2" s="19" t="s">
        <v>3</v>
      </c>
      <c r="B2" s="19" t="s">
        <v>244</v>
      </c>
      <c r="C2" s="20" t="s">
        <v>268</v>
      </c>
      <c r="D2" s="19" t="s">
        <v>10</v>
      </c>
      <c r="E2" s="19" t="s">
        <v>259</v>
      </c>
      <c r="F2" s="19" t="s">
        <v>269</v>
      </c>
      <c r="G2" s="17"/>
      <c r="H2" s="80" t="s">
        <v>258</v>
      </c>
      <c r="I2" s="80"/>
      <c r="M2" s="5"/>
      <c r="N2" s="5"/>
      <c r="O2" s="2"/>
    </row>
    <row r="3" spans="1:15" x14ac:dyDescent="0.25">
      <c r="A3" s="27">
        <v>45659</v>
      </c>
      <c r="B3" s="28" t="s">
        <v>14</v>
      </c>
      <c r="C3" s="26" t="str">
        <f>IF(COUNTBLANK(#REF!)=0,#REF!,"Unknown")</f>
        <v>Salary</v>
      </c>
      <c r="D3" s="28" t="s">
        <v>15</v>
      </c>
      <c r="E3" s="30">
        <v>65000</v>
      </c>
      <c r="F3" s="26" t="s">
        <v>1</v>
      </c>
      <c r="G3" s="17"/>
      <c r="H3" s="32" t="s">
        <v>254</v>
      </c>
      <c r="I3" s="33">
        <f>SUM(E3:E100)</f>
        <v>7871000</v>
      </c>
      <c r="J3" s="3"/>
      <c r="M3" s="3"/>
      <c r="N3" s="4"/>
      <c r="O3" s="1"/>
    </row>
    <row r="4" spans="1:15" x14ac:dyDescent="0.25">
      <c r="A4" s="29">
        <v>45660</v>
      </c>
      <c r="B4" s="26" t="s">
        <v>19</v>
      </c>
      <c r="C4" s="26" t="str">
        <f>IF(COUNTBLANK(#REF!)=0,#REF!,"Unknown")</f>
        <v>Freelancing</v>
      </c>
      <c r="D4" s="26" t="s">
        <v>105</v>
      </c>
      <c r="E4" s="31">
        <v>72000</v>
      </c>
      <c r="F4" s="26" t="s">
        <v>23</v>
      </c>
      <c r="G4" s="17"/>
      <c r="H4" s="32" t="s">
        <v>255</v>
      </c>
      <c r="I4" s="34">
        <f>AVERAGE(E3:E100)</f>
        <v>80316.326530612248</v>
      </c>
      <c r="J4" s="4"/>
      <c r="M4" s="3"/>
      <c r="N4" s="3"/>
    </row>
    <row r="5" spans="1:15" x14ac:dyDescent="0.25">
      <c r="A5" s="27">
        <v>45661</v>
      </c>
      <c r="B5" s="28" t="s">
        <v>25</v>
      </c>
      <c r="C5" s="26" t="str">
        <f>IF(COUNTBLANK(#REF!)=0,#REF!,"Unknown")</f>
        <v>Salary</v>
      </c>
      <c r="D5" s="28" t="s">
        <v>163</v>
      </c>
      <c r="E5" s="30">
        <v>54000</v>
      </c>
      <c r="F5" s="26" t="s">
        <v>0</v>
      </c>
      <c r="G5" s="17"/>
      <c r="H5" s="13" t="s">
        <v>256</v>
      </c>
      <c r="I5" s="15">
        <f>MAX(E3:E100)</f>
        <v>158000</v>
      </c>
      <c r="J5" s="4"/>
      <c r="M5" s="3"/>
      <c r="N5" s="3"/>
    </row>
    <row r="6" spans="1:15" x14ac:dyDescent="0.25">
      <c r="A6" s="29">
        <v>45662</v>
      </c>
      <c r="B6" s="26" t="s">
        <v>29</v>
      </c>
      <c r="C6" s="26" t="str">
        <f>IF(COUNTBLANK(#REF!)=0,#REF!,"Unknown")</f>
        <v>Business</v>
      </c>
      <c r="D6" s="26" t="s">
        <v>222</v>
      </c>
      <c r="E6" s="31">
        <v>98000</v>
      </c>
      <c r="F6" s="26" t="s">
        <v>33</v>
      </c>
      <c r="G6" s="17"/>
      <c r="H6" s="14" t="s">
        <v>257</v>
      </c>
      <c r="I6" s="16">
        <f>MIN(E3:E100)</f>
        <v>27000</v>
      </c>
      <c r="J6" s="4"/>
      <c r="M6" s="3"/>
      <c r="N6" s="3"/>
    </row>
    <row r="7" spans="1:15" x14ac:dyDescent="0.25">
      <c r="A7" s="27">
        <v>45663</v>
      </c>
      <c r="B7" s="28" t="s">
        <v>35</v>
      </c>
      <c r="C7" s="26" t="str">
        <f>IF(COUNTBLANK(#REF!)=0,#REF!,"Unknown")</f>
        <v>Salary</v>
      </c>
      <c r="D7" s="28" t="s">
        <v>246</v>
      </c>
      <c r="E7" s="30">
        <v>85000</v>
      </c>
      <c r="F7" s="26" t="s">
        <v>23</v>
      </c>
      <c r="G7" s="17"/>
      <c r="H7" s="18"/>
      <c r="I7" s="18"/>
      <c r="J7" s="4"/>
    </row>
    <row r="8" spans="1:15" x14ac:dyDescent="0.25">
      <c r="A8" s="29">
        <v>45664</v>
      </c>
      <c r="B8" s="26" t="s">
        <v>39</v>
      </c>
      <c r="C8" s="26" t="str">
        <f>IF(COUNTBLANK(#REF!)=0,#REF!,"Unknown")</f>
        <v>Salary</v>
      </c>
      <c r="D8" s="26" t="s">
        <v>247</v>
      </c>
      <c r="E8" s="31">
        <v>61000</v>
      </c>
      <c r="F8" s="26" t="s">
        <v>1</v>
      </c>
      <c r="G8" s="17"/>
      <c r="H8" s="17"/>
      <c r="I8" s="17"/>
    </row>
    <row r="9" spans="1:15" x14ac:dyDescent="0.25">
      <c r="A9" s="27">
        <v>45665</v>
      </c>
      <c r="B9" s="28" t="s">
        <v>43</v>
      </c>
      <c r="C9" s="26" t="str">
        <f>IF(COUNTBLANK(#REF!)=0,#REF!,"Unknown")</f>
        <v>Business</v>
      </c>
      <c r="D9" s="28" t="s">
        <v>248</v>
      </c>
      <c r="E9" s="30">
        <v>120000</v>
      </c>
      <c r="F9" s="26" t="s">
        <v>46</v>
      </c>
      <c r="G9" s="17"/>
      <c r="H9" s="17"/>
      <c r="I9" s="17"/>
    </row>
    <row r="10" spans="1:15" x14ac:dyDescent="0.25">
      <c r="A10" s="29">
        <v>45666</v>
      </c>
      <c r="B10" s="26" t="s">
        <v>47</v>
      </c>
      <c r="C10" s="26" t="str">
        <f>IF(COUNTBLANK(#REF!)=0,#REF!,"Unknown")</f>
        <v>Internship</v>
      </c>
      <c r="D10" s="26" t="s">
        <v>249</v>
      </c>
      <c r="E10" s="31">
        <v>28000</v>
      </c>
      <c r="F10" s="26" t="s">
        <v>1</v>
      </c>
      <c r="G10" s="17"/>
      <c r="H10" s="77" t="s">
        <v>259</v>
      </c>
      <c r="I10" s="77"/>
      <c r="J10" s="3"/>
      <c r="L10" s="5"/>
      <c r="M10" s="5"/>
    </row>
    <row r="11" spans="1:15" x14ac:dyDescent="0.25">
      <c r="A11" s="27">
        <v>45667</v>
      </c>
      <c r="B11" s="28" t="s">
        <v>51</v>
      </c>
      <c r="C11" s="26" t="str">
        <f>IF(COUNTBLANK(#REF!)=0,#REF!,"Unknown")</f>
        <v>Salary</v>
      </c>
      <c r="D11" s="28" t="s">
        <v>250</v>
      </c>
      <c r="E11" s="30">
        <v>76000</v>
      </c>
      <c r="F11" s="26" t="s">
        <v>23</v>
      </c>
      <c r="G11" s="17"/>
      <c r="H11" s="26" t="s">
        <v>15</v>
      </c>
      <c r="I11" s="31">
        <f>SUMIF($D:$D,"January",$E:$E)</f>
        <v>605000</v>
      </c>
      <c r="J11" s="4"/>
      <c r="L11" s="4"/>
      <c r="M11" s="4"/>
    </row>
    <row r="12" spans="1:15" x14ac:dyDescent="0.25">
      <c r="A12" s="29">
        <v>45668</v>
      </c>
      <c r="B12" s="26" t="s">
        <v>55</v>
      </c>
      <c r="C12" s="26" t="str">
        <f>IF(COUNTBLANK(#REF!)=0,#REF!,"Unknown")</f>
        <v>Freelancing</v>
      </c>
      <c r="D12" s="26" t="s">
        <v>251</v>
      </c>
      <c r="E12" s="31">
        <v>68000</v>
      </c>
      <c r="F12" s="26" t="s">
        <v>1</v>
      </c>
      <c r="G12" s="17"/>
      <c r="H12" s="26" t="s">
        <v>105</v>
      </c>
      <c r="I12" s="31">
        <f>SUMIF($D:$D,"February",$E:$E)</f>
        <v>681000</v>
      </c>
      <c r="J12" s="4"/>
      <c r="L12" s="4"/>
      <c r="M12" s="4"/>
    </row>
    <row r="13" spans="1:15" x14ac:dyDescent="0.25">
      <c r="A13" s="27">
        <v>45669</v>
      </c>
      <c r="B13" s="28" t="s">
        <v>59</v>
      </c>
      <c r="C13" s="26" t="str">
        <f>IF(COUNTBLANK(#REF!)=0,#REF!,"Unknown")</f>
        <v>Business</v>
      </c>
      <c r="D13" s="28" t="s">
        <v>252</v>
      </c>
      <c r="E13" s="30">
        <v>150000</v>
      </c>
      <c r="F13" s="26" t="s">
        <v>33</v>
      </c>
      <c r="G13" s="17"/>
      <c r="H13" s="26" t="s">
        <v>163</v>
      </c>
      <c r="I13" s="31">
        <f>SUMIF($D:$D,"March",$E:$E)</f>
        <v>570000</v>
      </c>
      <c r="J13" s="4"/>
      <c r="L13" s="4"/>
      <c r="M13" s="4"/>
    </row>
    <row r="14" spans="1:15" x14ac:dyDescent="0.25">
      <c r="A14" s="29">
        <v>45670</v>
      </c>
      <c r="B14" s="26" t="s">
        <v>61</v>
      </c>
      <c r="C14" s="26" t="str">
        <f>IF(COUNTBLANK(#REF!)=0,#REF!,"Unknown")</f>
        <v>Unknown</v>
      </c>
      <c r="D14" s="26" t="s">
        <v>253</v>
      </c>
      <c r="E14" s="31">
        <v>59000</v>
      </c>
      <c r="F14" s="26" t="s">
        <v>287</v>
      </c>
      <c r="G14" s="17"/>
      <c r="H14" s="26" t="s">
        <v>222</v>
      </c>
      <c r="I14" s="31">
        <f>SUMIF($D:$D,"April",$E:$E)</f>
        <v>817000</v>
      </c>
      <c r="J14" s="4"/>
      <c r="L14" s="4"/>
      <c r="M14" s="4"/>
    </row>
    <row r="15" spans="1:15" x14ac:dyDescent="0.25">
      <c r="A15" s="27">
        <v>45671</v>
      </c>
      <c r="B15" s="28" t="s">
        <v>64</v>
      </c>
      <c r="C15" s="26" t="str">
        <f>IF(COUNTBLANK(#REF!)=0,#REF!,"Unknown")</f>
        <v>Salary</v>
      </c>
      <c r="D15" s="28" t="s">
        <v>15</v>
      </c>
      <c r="E15" s="30">
        <v>71000</v>
      </c>
      <c r="F15" s="26" t="s">
        <v>1</v>
      </c>
      <c r="G15" s="17"/>
      <c r="H15" s="26" t="s">
        <v>246</v>
      </c>
      <c r="I15" s="31">
        <f>SUMIF($D:$D,"May",$E:$E)</f>
        <v>552000</v>
      </c>
      <c r="J15" s="4"/>
      <c r="L15" s="4"/>
      <c r="M15" s="4"/>
    </row>
    <row r="16" spans="1:15" x14ac:dyDescent="0.25">
      <c r="A16" s="29">
        <v>45672</v>
      </c>
      <c r="B16" s="26" t="s">
        <v>66</v>
      </c>
      <c r="C16" s="26" t="str">
        <f>IF(COUNTBLANK(#REF!)=0,#REF!,"Unknown")</f>
        <v>Freelancing</v>
      </c>
      <c r="D16" s="26" t="s">
        <v>105</v>
      </c>
      <c r="E16" s="31">
        <v>47000</v>
      </c>
      <c r="F16" s="26" t="s">
        <v>23</v>
      </c>
      <c r="G16" s="17"/>
      <c r="H16" s="26" t="s">
        <v>247</v>
      </c>
      <c r="I16" s="31">
        <f>SUMIF($D:$D,"June",$E:$E)</f>
        <v>639000</v>
      </c>
      <c r="J16" s="4"/>
      <c r="L16" s="4"/>
      <c r="M16" s="4"/>
    </row>
    <row r="17" spans="1:13" x14ac:dyDescent="0.25">
      <c r="A17" s="27">
        <v>45673</v>
      </c>
      <c r="B17" s="28" t="s">
        <v>68</v>
      </c>
      <c r="C17" s="26" t="str">
        <f>IF(COUNTBLANK(#REF!)=0,#REF!,"Unknown")</f>
        <v>Business</v>
      </c>
      <c r="D17" s="28" t="s">
        <v>163</v>
      </c>
      <c r="E17" s="30">
        <v>132000</v>
      </c>
      <c r="F17" s="26" t="s">
        <v>33</v>
      </c>
      <c r="G17" s="17"/>
      <c r="H17" s="26" t="s">
        <v>248</v>
      </c>
      <c r="I17" s="31">
        <f>SUMIF($D:$D,"July",$E:$E)</f>
        <v>731000</v>
      </c>
      <c r="J17" s="4"/>
      <c r="L17" s="4"/>
      <c r="M17" s="4"/>
    </row>
    <row r="18" spans="1:13" x14ac:dyDescent="0.25">
      <c r="A18" s="29">
        <v>45674</v>
      </c>
      <c r="B18" s="26" t="s">
        <v>70</v>
      </c>
      <c r="C18" s="26" t="str">
        <f>IF(COUNTBLANK(#REF!)=0,#REF!,"Unknown")</f>
        <v>Salary</v>
      </c>
      <c r="D18" s="26" t="s">
        <v>222</v>
      </c>
      <c r="E18" s="31">
        <v>62000</v>
      </c>
      <c r="F18" s="26" t="s">
        <v>1</v>
      </c>
      <c r="G18" s="17"/>
      <c r="H18" s="26" t="s">
        <v>249</v>
      </c>
      <c r="I18" s="31">
        <f>SUMIF($D:$D,"August",$E:$E)</f>
        <v>630000</v>
      </c>
      <c r="J18" s="4"/>
      <c r="L18" s="4"/>
      <c r="M18" s="4"/>
    </row>
    <row r="19" spans="1:13" x14ac:dyDescent="0.25">
      <c r="A19" s="27">
        <v>45675</v>
      </c>
      <c r="B19" s="28" t="s">
        <v>72</v>
      </c>
      <c r="C19" s="26" t="str">
        <f>IF(COUNTBLANK(#REF!)=0,#REF!,"Unknown")</f>
        <v>Salary</v>
      </c>
      <c r="D19" s="28" t="s">
        <v>246</v>
      </c>
      <c r="E19" s="30">
        <v>81000</v>
      </c>
      <c r="F19" s="26" t="s">
        <v>0</v>
      </c>
      <c r="G19" s="17"/>
      <c r="H19" s="26" t="s">
        <v>250</v>
      </c>
      <c r="I19" s="31">
        <f>SUMIF($D:$D,"September",$E:$E)</f>
        <v>661000</v>
      </c>
      <c r="J19" s="4"/>
      <c r="L19" s="4"/>
      <c r="M19" s="4"/>
    </row>
    <row r="20" spans="1:13" x14ac:dyDescent="0.25">
      <c r="A20" s="29">
        <v>45676</v>
      </c>
      <c r="B20" s="26" t="s">
        <v>74</v>
      </c>
      <c r="C20" s="26" t="str">
        <f>IF(COUNTBLANK(#REF!)=0,#REF!,"Unknown")</f>
        <v>Freelancing</v>
      </c>
      <c r="D20" s="26" t="s">
        <v>247</v>
      </c>
      <c r="E20" s="31">
        <v>56000</v>
      </c>
      <c r="F20" s="26" t="s">
        <v>23</v>
      </c>
      <c r="G20" s="17"/>
      <c r="H20" s="26" t="s">
        <v>251</v>
      </c>
      <c r="I20" s="31">
        <f>SUMIF($D:$D,"October",$E:$E)</f>
        <v>465000</v>
      </c>
      <c r="J20" s="4"/>
      <c r="L20" s="4"/>
      <c r="M20" s="4"/>
    </row>
    <row r="21" spans="1:13" x14ac:dyDescent="0.25">
      <c r="A21" s="27">
        <v>45677</v>
      </c>
      <c r="B21" s="28" t="s">
        <v>77</v>
      </c>
      <c r="C21" s="26" t="str">
        <f>IF(COUNTBLANK(#REF!)=0,#REF!,"Unknown")</f>
        <v>Business</v>
      </c>
      <c r="D21" s="28" t="s">
        <v>248</v>
      </c>
      <c r="E21" s="30">
        <v>145000</v>
      </c>
      <c r="F21" s="26" t="s">
        <v>46</v>
      </c>
      <c r="G21" s="17"/>
      <c r="H21" s="26" t="s">
        <v>252</v>
      </c>
      <c r="I21" s="31">
        <f>SUMIF($D:$D,"November",$E:$E)</f>
        <v>825000</v>
      </c>
      <c r="J21" s="4"/>
      <c r="L21" s="4"/>
      <c r="M21" s="4"/>
    </row>
    <row r="22" spans="1:13" x14ac:dyDescent="0.25">
      <c r="A22" s="29">
        <v>45678</v>
      </c>
      <c r="B22" s="26" t="s">
        <v>79</v>
      </c>
      <c r="C22" s="26" t="str">
        <f>IF(COUNTBLANK(#REF!)=0,#REF!,"Unknown")</f>
        <v>Salary</v>
      </c>
      <c r="D22" s="26" t="s">
        <v>249</v>
      </c>
      <c r="E22" s="31">
        <v>69000</v>
      </c>
      <c r="F22" s="26" t="s">
        <v>1</v>
      </c>
      <c r="G22" s="17"/>
      <c r="H22" s="26" t="s">
        <v>253</v>
      </c>
      <c r="I22" s="31">
        <f>SUMIF($D:$D,"December",$E:$E)</f>
        <v>695000</v>
      </c>
      <c r="J22" s="4"/>
      <c r="L22" s="4"/>
      <c r="M22" s="4"/>
    </row>
    <row r="23" spans="1:13" x14ac:dyDescent="0.25">
      <c r="A23" s="27">
        <v>45679</v>
      </c>
      <c r="B23" s="28" t="s">
        <v>82</v>
      </c>
      <c r="C23" s="26" t="str">
        <f>IF(COUNTBLANK(#REF!)=0,#REF!,"Unknown")</f>
        <v>Salary</v>
      </c>
      <c r="D23" s="28" t="s">
        <v>250</v>
      </c>
      <c r="E23" s="30">
        <v>57000</v>
      </c>
      <c r="F23" s="26" t="s">
        <v>0</v>
      </c>
      <c r="G23" s="17"/>
      <c r="H23" s="17"/>
      <c r="I23" s="17"/>
    </row>
    <row r="24" spans="1:13" x14ac:dyDescent="0.25">
      <c r="A24" s="29">
        <v>45680</v>
      </c>
      <c r="B24" s="26" t="s">
        <v>85</v>
      </c>
      <c r="C24" s="26" t="str">
        <f>IF(COUNTBLANK(#REF!)=0,#REF!,"Unknown")</f>
        <v>Freelancing</v>
      </c>
      <c r="D24" s="26" t="s">
        <v>251</v>
      </c>
      <c r="E24" s="31">
        <v>52000</v>
      </c>
      <c r="F24" s="26" t="s">
        <v>23</v>
      </c>
      <c r="G24" s="17"/>
      <c r="H24" s="17"/>
      <c r="I24" s="17"/>
    </row>
    <row r="25" spans="1:13" x14ac:dyDescent="0.25">
      <c r="A25" s="27">
        <v>45681</v>
      </c>
      <c r="B25" s="28" t="s">
        <v>88</v>
      </c>
      <c r="C25" s="26" t="str">
        <f>IF(COUNTBLANK(#REF!)=0,#REF!,"Unknown")</f>
        <v>Unknown</v>
      </c>
      <c r="D25" s="28" t="s">
        <v>252</v>
      </c>
      <c r="E25" s="30">
        <v>125000</v>
      </c>
      <c r="F25" s="26" t="s">
        <v>33</v>
      </c>
      <c r="G25" s="17"/>
      <c r="H25" s="17"/>
      <c r="I25" s="17"/>
    </row>
    <row r="26" spans="1:13" x14ac:dyDescent="0.25">
      <c r="A26" s="29">
        <v>45682</v>
      </c>
      <c r="B26" s="26" t="s">
        <v>90</v>
      </c>
      <c r="C26" s="26" t="str">
        <f>IF(COUNTBLANK(#REF!)=0,#REF!,"Unknown")</f>
        <v>Salary</v>
      </c>
      <c r="D26" s="26" t="s">
        <v>253</v>
      </c>
      <c r="E26" s="31">
        <v>74000</v>
      </c>
      <c r="F26" s="26" t="s">
        <v>1</v>
      </c>
      <c r="G26" s="17"/>
      <c r="H26" s="17"/>
      <c r="I26" s="17"/>
    </row>
    <row r="27" spans="1:13" x14ac:dyDescent="0.25">
      <c r="A27" s="27">
        <v>45683</v>
      </c>
      <c r="B27" s="28" t="s">
        <v>92</v>
      </c>
      <c r="C27" s="26" t="str">
        <f>IF(COUNTBLANK(#REF!)=0,#REF!,"Unknown")</f>
        <v>Salary</v>
      </c>
      <c r="D27" s="28" t="s">
        <v>15</v>
      </c>
      <c r="E27" s="30">
        <v>63000</v>
      </c>
      <c r="F27" s="26" t="s">
        <v>23</v>
      </c>
      <c r="G27" s="17"/>
      <c r="H27" s="17"/>
      <c r="I27" s="17"/>
    </row>
    <row r="28" spans="1:13" x14ac:dyDescent="0.25">
      <c r="A28" s="29">
        <v>45733</v>
      </c>
      <c r="B28" s="26" t="s">
        <v>191</v>
      </c>
      <c r="C28" s="26" t="str">
        <f>IF(COUNTBLANK(#REF!)=0,#REF!,"Unknown")</f>
        <v>Salary</v>
      </c>
      <c r="D28" s="26" t="s">
        <v>105</v>
      </c>
      <c r="E28" s="31">
        <v>81000</v>
      </c>
      <c r="F28" s="26" t="s">
        <v>1</v>
      </c>
      <c r="G28" s="17"/>
      <c r="H28" s="17"/>
      <c r="I28" s="17"/>
    </row>
    <row r="29" spans="1:13" x14ac:dyDescent="0.25">
      <c r="A29" s="27">
        <v>45734</v>
      </c>
      <c r="B29" s="28" t="s">
        <v>193</v>
      </c>
      <c r="C29" s="26" t="str">
        <f>IF(COUNTBLANK(#REF!)=0,#REF!,"Unknown")</f>
        <v>Freelancing</v>
      </c>
      <c r="D29" s="28" t="s">
        <v>163</v>
      </c>
      <c r="E29" s="30">
        <v>55000</v>
      </c>
      <c r="F29" s="26" t="s">
        <v>23</v>
      </c>
      <c r="G29" s="17"/>
      <c r="H29" s="17"/>
      <c r="I29" s="17"/>
    </row>
    <row r="30" spans="1:13" x14ac:dyDescent="0.25">
      <c r="A30" s="29">
        <v>45735</v>
      </c>
      <c r="B30" s="26" t="s">
        <v>195</v>
      </c>
      <c r="C30" s="26" t="str">
        <f>IF(COUNTBLANK(#REF!)=0,#REF!,"Unknown")</f>
        <v>Business</v>
      </c>
      <c r="D30" s="26" t="s">
        <v>222</v>
      </c>
      <c r="E30" s="31">
        <v>149000</v>
      </c>
      <c r="F30" s="26" t="s">
        <v>46</v>
      </c>
      <c r="G30" s="17"/>
      <c r="H30" s="17"/>
      <c r="I30" s="17"/>
    </row>
    <row r="31" spans="1:13" x14ac:dyDescent="0.25">
      <c r="A31" s="27">
        <v>45736</v>
      </c>
      <c r="B31" s="28" t="s">
        <v>197</v>
      </c>
      <c r="C31" s="26" t="str">
        <f>IF(COUNTBLANK(#REF!)=0,#REF!,"Unknown")</f>
        <v>Salary</v>
      </c>
      <c r="D31" s="28" t="s">
        <v>246</v>
      </c>
      <c r="E31" s="30">
        <v>72000</v>
      </c>
      <c r="F31" s="26" t="s">
        <v>1</v>
      </c>
      <c r="G31" s="17"/>
      <c r="H31" s="17"/>
      <c r="I31" s="17"/>
    </row>
    <row r="32" spans="1:13" x14ac:dyDescent="0.25">
      <c r="A32" s="29">
        <v>45737</v>
      </c>
      <c r="B32" s="26" t="s">
        <v>199</v>
      </c>
      <c r="C32" s="26" t="str">
        <f>IF(COUNTBLANK(#REF!)=0,#REF!,"Unknown")</f>
        <v>Salary</v>
      </c>
      <c r="D32" s="26" t="s">
        <v>247</v>
      </c>
      <c r="E32" s="31">
        <v>65000</v>
      </c>
      <c r="F32" s="26" t="s">
        <v>0</v>
      </c>
      <c r="G32" s="17"/>
      <c r="H32" s="17"/>
      <c r="I32" s="17"/>
    </row>
    <row r="33" spans="1:9" x14ac:dyDescent="0.25">
      <c r="A33" s="27">
        <v>45738</v>
      </c>
      <c r="B33" s="28" t="s">
        <v>201</v>
      </c>
      <c r="C33" s="26" t="str">
        <f>IF(COUNTBLANK(#REF!)=0,#REF!,"Unknown")</f>
        <v>Freelancing</v>
      </c>
      <c r="D33" s="28" t="s">
        <v>248</v>
      </c>
      <c r="E33" s="30">
        <v>50000</v>
      </c>
      <c r="F33" s="26" t="s">
        <v>23</v>
      </c>
      <c r="G33" s="17"/>
      <c r="H33" s="17"/>
      <c r="I33" s="17"/>
    </row>
    <row r="34" spans="1:9" x14ac:dyDescent="0.25">
      <c r="A34" s="29">
        <v>45739</v>
      </c>
      <c r="B34" s="26" t="s">
        <v>203</v>
      </c>
      <c r="C34" s="26" t="str">
        <f>IF(COUNTBLANK(#REF!)=0,#REF!,"Unknown")</f>
        <v>Unknown</v>
      </c>
      <c r="D34" s="26" t="s">
        <v>249</v>
      </c>
      <c r="E34" s="31">
        <v>137000</v>
      </c>
      <c r="F34" s="26" t="s">
        <v>287</v>
      </c>
      <c r="G34" s="17"/>
      <c r="H34" s="17"/>
      <c r="I34" s="17"/>
    </row>
    <row r="35" spans="1:9" x14ac:dyDescent="0.25">
      <c r="A35" s="27">
        <v>45740</v>
      </c>
      <c r="B35" s="28" t="s">
        <v>205</v>
      </c>
      <c r="C35" s="26" t="str">
        <f>IF(COUNTBLANK(#REF!)=0,#REF!,"Unknown")</f>
        <v>Salary</v>
      </c>
      <c r="D35" s="28" t="s">
        <v>250</v>
      </c>
      <c r="E35" s="30">
        <v>70000</v>
      </c>
      <c r="F35" s="26" t="s">
        <v>1</v>
      </c>
      <c r="G35" s="17"/>
      <c r="H35" s="17"/>
      <c r="I35" s="17"/>
    </row>
    <row r="36" spans="1:9" x14ac:dyDescent="0.25">
      <c r="A36" s="29">
        <v>45741</v>
      </c>
      <c r="B36" s="26" t="s">
        <v>207</v>
      </c>
      <c r="C36" s="26" t="str">
        <f>IF(COUNTBLANK(#REF!)=0,#REF!,"Unknown")</f>
        <v>Salary</v>
      </c>
      <c r="D36" s="26" t="s">
        <v>251</v>
      </c>
      <c r="E36" s="31">
        <v>83000</v>
      </c>
      <c r="F36" s="26" t="s">
        <v>23</v>
      </c>
      <c r="G36" s="17"/>
      <c r="H36" s="17"/>
      <c r="I36" s="17"/>
    </row>
    <row r="37" spans="1:9" x14ac:dyDescent="0.25">
      <c r="A37" s="27">
        <v>45742</v>
      </c>
      <c r="B37" s="28" t="s">
        <v>209</v>
      </c>
      <c r="C37" s="26" t="str">
        <f>IF(COUNTBLANK(#REF!)=0,#REF!,"Unknown")</f>
        <v>Freelancing</v>
      </c>
      <c r="D37" s="28" t="s">
        <v>252</v>
      </c>
      <c r="E37" s="30">
        <v>53000</v>
      </c>
      <c r="F37" s="26" t="s">
        <v>0</v>
      </c>
      <c r="G37" s="17"/>
      <c r="H37" s="17"/>
      <c r="I37" s="17"/>
    </row>
    <row r="38" spans="1:9" x14ac:dyDescent="0.25">
      <c r="A38" s="29">
        <v>45743</v>
      </c>
      <c r="B38" s="26" t="s">
        <v>211</v>
      </c>
      <c r="C38" s="26" t="str">
        <f>IF(COUNTBLANK(#REF!)=0,#REF!,"Unknown")</f>
        <v>Business</v>
      </c>
      <c r="D38" s="26" t="s">
        <v>253</v>
      </c>
      <c r="E38" s="31">
        <v>144000</v>
      </c>
      <c r="F38" s="26" t="s">
        <v>46</v>
      </c>
      <c r="G38" s="17"/>
      <c r="H38" s="17"/>
      <c r="I38" s="17"/>
    </row>
    <row r="39" spans="1:9" x14ac:dyDescent="0.25">
      <c r="A39" s="27">
        <v>45744</v>
      </c>
      <c r="B39" s="28" t="s">
        <v>213</v>
      </c>
      <c r="C39" s="26" t="str">
        <f>IF(COUNTBLANK(#REF!)=0,#REF!,"Unknown")</f>
        <v>Salary</v>
      </c>
      <c r="D39" s="28" t="s">
        <v>15</v>
      </c>
      <c r="E39" s="30">
        <v>69000</v>
      </c>
      <c r="F39" s="26" t="s">
        <v>1</v>
      </c>
      <c r="G39" s="17"/>
      <c r="H39" s="17"/>
      <c r="I39" s="17"/>
    </row>
    <row r="40" spans="1:9" x14ac:dyDescent="0.25">
      <c r="A40" s="29">
        <v>45745</v>
      </c>
      <c r="B40" s="26" t="s">
        <v>215</v>
      </c>
      <c r="C40" s="26" t="str">
        <f>IF(COUNTBLANK(#REF!)=0,#REF!,"Unknown")</f>
        <v>Salary</v>
      </c>
      <c r="D40" s="26" t="s">
        <v>105</v>
      </c>
      <c r="E40" s="31">
        <v>78000</v>
      </c>
      <c r="F40" s="26" t="s">
        <v>23</v>
      </c>
      <c r="G40" s="17"/>
      <c r="H40" s="17"/>
      <c r="I40" s="17"/>
    </row>
    <row r="41" spans="1:9" x14ac:dyDescent="0.25">
      <c r="A41" s="27">
        <v>45746</v>
      </c>
      <c r="B41" s="28" t="s">
        <v>217</v>
      </c>
      <c r="C41" s="26" t="str">
        <f>IF(COUNTBLANK(#REF!)=0,#REF!,"Unknown")</f>
        <v>Internship</v>
      </c>
      <c r="D41" s="28" t="s">
        <v>163</v>
      </c>
      <c r="E41" s="30">
        <v>30000</v>
      </c>
      <c r="F41" s="26" t="s">
        <v>0</v>
      </c>
      <c r="G41" s="17"/>
      <c r="H41" s="17"/>
      <c r="I41" s="17"/>
    </row>
    <row r="42" spans="1:9" x14ac:dyDescent="0.25">
      <c r="A42" s="29">
        <v>45747</v>
      </c>
      <c r="B42" s="26" t="s">
        <v>219</v>
      </c>
      <c r="C42" s="26" t="str">
        <f>IF(COUNTBLANK(#REF!)=0,#REF!,"Unknown")</f>
        <v>Business</v>
      </c>
      <c r="D42" s="26" t="s">
        <v>222</v>
      </c>
      <c r="E42" s="31">
        <v>158000</v>
      </c>
      <c r="F42" s="26" t="s">
        <v>33</v>
      </c>
      <c r="G42" s="17"/>
      <c r="H42" s="17"/>
      <c r="I42" s="17"/>
    </row>
    <row r="43" spans="1:9" x14ac:dyDescent="0.25">
      <c r="A43" s="27">
        <v>45748</v>
      </c>
      <c r="B43" s="28" t="s">
        <v>221</v>
      </c>
      <c r="C43" s="26" t="str">
        <f>IF(COUNTBLANK(#REF!)=0,#REF!,"Unknown")</f>
        <v>Unknown</v>
      </c>
      <c r="D43" s="28" t="s">
        <v>246</v>
      </c>
      <c r="E43" s="30">
        <v>73000</v>
      </c>
      <c r="F43" s="26" t="s">
        <v>287</v>
      </c>
      <c r="G43" s="17"/>
      <c r="H43" s="17"/>
      <c r="I43" s="17"/>
    </row>
    <row r="44" spans="1:9" x14ac:dyDescent="0.25">
      <c r="A44" s="29">
        <v>45749</v>
      </c>
      <c r="B44" s="26" t="s">
        <v>224</v>
      </c>
      <c r="C44" s="26" t="str">
        <f>IF(COUNTBLANK(#REF!)=0,#REF!,"Unknown")</f>
        <v>Salary</v>
      </c>
      <c r="D44" s="26" t="s">
        <v>247</v>
      </c>
      <c r="E44" s="31">
        <v>86000</v>
      </c>
      <c r="F44" s="26" t="s">
        <v>23</v>
      </c>
      <c r="G44" s="17"/>
      <c r="H44" s="17"/>
      <c r="I44" s="17"/>
    </row>
    <row r="45" spans="1:9" x14ac:dyDescent="0.25">
      <c r="A45" s="27">
        <v>45750</v>
      </c>
      <c r="B45" s="28" t="s">
        <v>226</v>
      </c>
      <c r="C45" s="26" t="str">
        <f>IF(COUNTBLANK(#REF!)=0,#REF!,"Unknown")</f>
        <v>Freelancing</v>
      </c>
      <c r="D45" s="28" t="s">
        <v>248</v>
      </c>
      <c r="E45" s="30">
        <v>52000</v>
      </c>
      <c r="F45" s="26" t="s">
        <v>1</v>
      </c>
      <c r="G45" s="17"/>
      <c r="H45" s="17"/>
      <c r="I45" s="17"/>
    </row>
    <row r="46" spans="1:9" x14ac:dyDescent="0.25">
      <c r="A46" s="29">
        <v>45751</v>
      </c>
      <c r="B46" s="26" t="s">
        <v>228</v>
      </c>
      <c r="C46" s="26" t="str">
        <f>IF(COUNTBLANK(#REF!)=0,#REF!,"Unknown")</f>
        <v>Business</v>
      </c>
      <c r="D46" s="26" t="s">
        <v>249</v>
      </c>
      <c r="E46" s="31">
        <v>139000</v>
      </c>
      <c r="F46" s="26" t="s">
        <v>46</v>
      </c>
      <c r="G46" s="17"/>
      <c r="H46" s="17"/>
      <c r="I46" s="17"/>
    </row>
    <row r="47" spans="1:9" x14ac:dyDescent="0.25">
      <c r="A47" s="27">
        <v>45752</v>
      </c>
      <c r="B47" s="28" t="s">
        <v>230</v>
      </c>
      <c r="C47" s="26" t="str">
        <f>IF(COUNTBLANK(#REF!)=0,#REF!,"Unknown")</f>
        <v>Salary</v>
      </c>
      <c r="D47" s="28" t="s">
        <v>250</v>
      </c>
      <c r="E47" s="30">
        <v>71000</v>
      </c>
      <c r="F47" s="26" t="s">
        <v>23</v>
      </c>
      <c r="G47" s="17"/>
      <c r="H47" s="17"/>
      <c r="I47" s="17"/>
    </row>
    <row r="48" spans="1:9" x14ac:dyDescent="0.25">
      <c r="A48" s="29">
        <v>45753</v>
      </c>
      <c r="B48" s="26" t="s">
        <v>232</v>
      </c>
      <c r="C48" s="26" t="str">
        <f>IF(COUNTBLANK(#REF!)=0,#REF!,"Unknown")</f>
        <v>Salary</v>
      </c>
      <c r="D48" s="26" t="s">
        <v>251</v>
      </c>
      <c r="E48" s="31">
        <v>67000</v>
      </c>
      <c r="F48" s="26" t="s">
        <v>1</v>
      </c>
      <c r="G48" s="17"/>
      <c r="H48" s="17"/>
      <c r="I48" s="17"/>
    </row>
    <row r="49" spans="1:9" x14ac:dyDescent="0.25">
      <c r="A49" s="27">
        <v>45754</v>
      </c>
      <c r="B49" s="28" t="s">
        <v>234</v>
      </c>
      <c r="C49" s="26" t="str">
        <f>IF(COUNTBLANK(#REF!)=0,#REF!,"Unknown")</f>
        <v>Internship</v>
      </c>
      <c r="D49" s="28" t="s">
        <v>252</v>
      </c>
      <c r="E49" s="30">
        <v>31000</v>
      </c>
      <c r="F49" s="26" t="s">
        <v>0</v>
      </c>
      <c r="G49" s="17"/>
      <c r="H49" s="17"/>
      <c r="I49" s="17"/>
    </row>
    <row r="50" spans="1:9" x14ac:dyDescent="0.25">
      <c r="A50" s="29">
        <v>45755</v>
      </c>
      <c r="B50" s="26" t="s">
        <v>236</v>
      </c>
      <c r="C50" s="26" t="str">
        <f>IF(COUNTBLANK(#REF!)=0,#REF!,"Unknown")</f>
        <v>Business</v>
      </c>
      <c r="D50" s="26" t="s">
        <v>253</v>
      </c>
      <c r="E50" s="31">
        <v>148000</v>
      </c>
      <c r="F50" s="26" t="s">
        <v>33</v>
      </c>
      <c r="G50" s="17"/>
      <c r="H50" s="17"/>
      <c r="I50" s="17"/>
    </row>
    <row r="51" spans="1:9" x14ac:dyDescent="0.25">
      <c r="A51" s="27">
        <v>45756</v>
      </c>
      <c r="B51" s="28" t="s">
        <v>238</v>
      </c>
      <c r="C51" s="26" t="str">
        <f>IF(COUNTBLANK(#REF!)=0,#REF!,"Unknown")</f>
        <v>Salary</v>
      </c>
      <c r="D51" s="28" t="s">
        <v>15</v>
      </c>
      <c r="E51" s="30">
        <v>72000</v>
      </c>
      <c r="F51" s="26" t="s">
        <v>1</v>
      </c>
      <c r="G51" s="17"/>
      <c r="H51" s="17"/>
      <c r="I51" s="17"/>
    </row>
    <row r="52" spans="1:9" x14ac:dyDescent="0.25">
      <c r="A52" s="29">
        <v>45757</v>
      </c>
      <c r="B52" s="26" t="s">
        <v>240</v>
      </c>
      <c r="C52" s="26" t="str">
        <f>IF(COUNTBLANK(#REF!)=0,#REF!,"Unknown")</f>
        <v>Unknown</v>
      </c>
      <c r="D52" s="26" t="s">
        <v>105</v>
      </c>
      <c r="E52" s="31">
        <v>80000</v>
      </c>
      <c r="F52" s="26" t="s">
        <v>23</v>
      </c>
      <c r="G52" s="17"/>
      <c r="H52" s="17"/>
      <c r="I52" s="17"/>
    </row>
    <row r="53" spans="1:9" x14ac:dyDescent="0.25">
      <c r="A53" s="27">
        <v>45758</v>
      </c>
      <c r="B53" s="28" t="s">
        <v>242</v>
      </c>
      <c r="C53" s="26" t="str">
        <f>IF(COUNTBLANK(#REF!)=0,#REF!,"Unknown")</f>
        <v>Freelancing</v>
      </c>
      <c r="D53" s="28" t="s">
        <v>163</v>
      </c>
      <c r="E53" s="30">
        <v>54000</v>
      </c>
      <c r="F53" s="26" t="s">
        <v>1</v>
      </c>
      <c r="G53" s="17"/>
      <c r="H53" s="17"/>
      <c r="I53" s="17"/>
    </row>
    <row r="54" spans="1:9" x14ac:dyDescent="0.25">
      <c r="A54" s="29">
        <v>45684</v>
      </c>
      <c r="B54" s="26" t="s">
        <v>94</v>
      </c>
      <c r="C54" s="26" t="str">
        <f>IF(COUNTBLANK(#REF!)=0,#REF!,"Unknown")</f>
        <v>Salary</v>
      </c>
      <c r="D54" s="26" t="s">
        <v>222</v>
      </c>
      <c r="E54" s="31">
        <v>67000</v>
      </c>
      <c r="F54" s="26" t="s">
        <v>1</v>
      </c>
      <c r="G54" s="17"/>
      <c r="H54" s="17"/>
      <c r="I54" s="17"/>
    </row>
    <row r="55" spans="1:9" x14ac:dyDescent="0.25">
      <c r="A55" s="27">
        <v>45685</v>
      </c>
      <c r="B55" s="28" t="s">
        <v>96</v>
      </c>
      <c r="C55" s="26" t="str">
        <f>IF(COUNTBLANK(#REF!)=0,#REF!,"Unknown")</f>
        <v>Freelancing</v>
      </c>
      <c r="D55" s="28" t="s">
        <v>246</v>
      </c>
      <c r="E55" s="30">
        <v>51000</v>
      </c>
      <c r="F55" s="26" t="s">
        <v>0</v>
      </c>
      <c r="G55" s="17"/>
      <c r="H55" s="17"/>
      <c r="I55" s="17"/>
    </row>
    <row r="56" spans="1:9" x14ac:dyDescent="0.25">
      <c r="A56" s="29">
        <v>45686</v>
      </c>
      <c r="B56" s="26" t="s">
        <v>98</v>
      </c>
      <c r="C56" s="26" t="str">
        <f>IF(COUNTBLANK(#REF!)=0,#REF!,"Unknown")</f>
        <v>Business</v>
      </c>
      <c r="D56" s="26" t="s">
        <v>247</v>
      </c>
      <c r="E56" s="31">
        <v>118000</v>
      </c>
      <c r="F56" s="26" t="s">
        <v>287</v>
      </c>
      <c r="G56" s="17"/>
      <c r="H56" s="17"/>
      <c r="I56" s="17"/>
    </row>
    <row r="57" spans="1:9" x14ac:dyDescent="0.25">
      <c r="A57" s="27">
        <v>45687</v>
      </c>
      <c r="B57" s="28" t="s">
        <v>100</v>
      </c>
      <c r="C57" s="26" t="str">
        <f>IF(COUNTBLANK(#REF!)=0,#REF!,"Unknown")</f>
        <v>Salary</v>
      </c>
      <c r="D57" s="28" t="s">
        <v>248</v>
      </c>
      <c r="E57" s="30">
        <v>83000</v>
      </c>
      <c r="F57" s="26" t="s">
        <v>33</v>
      </c>
      <c r="G57" s="17"/>
      <c r="H57" s="17"/>
      <c r="I57" s="17"/>
    </row>
    <row r="58" spans="1:9" x14ac:dyDescent="0.25">
      <c r="A58" s="29">
        <v>45688</v>
      </c>
      <c r="B58" s="26" t="s">
        <v>102</v>
      </c>
      <c r="C58" s="26" t="str">
        <f>IF(COUNTBLANK(#REF!)=0,#REF!,"Unknown")</f>
        <v>Internship</v>
      </c>
      <c r="D58" s="26" t="s">
        <v>249</v>
      </c>
      <c r="E58" s="31">
        <v>31000</v>
      </c>
      <c r="F58" s="26" t="s">
        <v>1</v>
      </c>
      <c r="G58" s="17"/>
      <c r="H58" s="17"/>
      <c r="I58" s="17"/>
    </row>
    <row r="59" spans="1:9" x14ac:dyDescent="0.25">
      <c r="A59" s="27">
        <v>45689</v>
      </c>
      <c r="B59" s="28" t="s">
        <v>104</v>
      </c>
      <c r="C59" s="26" t="str">
        <f>IF(COUNTBLANK(#REF!)=0,#REF!,"Unknown")</f>
        <v>Salary</v>
      </c>
      <c r="D59" s="28" t="s">
        <v>250</v>
      </c>
      <c r="E59" s="30">
        <v>78000</v>
      </c>
      <c r="F59" s="26" t="s">
        <v>23</v>
      </c>
      <c r="G59" s="17"/>
      <c r="H59" s="17"/>
      <c r="I59" s="17"/>
    </row>
    <row r="60" spans="1:9" x14ac:dyDescent="0.25">
      <c r="A60" s="29">
        <v>45690</v>
      </c>
      <c r="B60" s="26" t="s">
        <v>107</v>
      </c>
      <c r="C60" s="26" t="str">
        <f>IF(COUNTBLANK(#REF!)=0,#REF!,"Unknown")</f>
        <v>Freelancing</v>
      </c>
      <c r="D60" s="26" t="s">
        <v>251</v>
      </c>
      <c r="E60" s="31">
        <v>56000</v>
      </c>
      <c r="F60" s="26" t="s">
        <v>1</v>
      </c>
      <c r="G60" s="17"/>
      <c r="H60" s="17"/>
      <c r="I60" s="17"/>
    </row>
    <row r="61" spans="1:9" x14ac:dyDescent="0.25">
      <c r="A61" s="27">
        <v>45691</v>
      </c>
      <c r="B61" s="28" t="s">
        <v>109</v>
      </c>
      <c r="C61" s="26" t="str">
        <f>IF(COUNTBLANK(#REF!)=0,#REF!,"Unknown")</f>
        <v>Unknown</v>
      </c>
      <c r="D61" s="28" t="s">
        <v>252</v>
      </c>
      <c r="E61" s="30">
        <v>138000</v>
      </c>
      <c r="F61" s="26" t="s">
        <v>33</v>
      </c>
      <c r="G61" s="17"/>
      <c r="H61" s="17"/>
      <c r="I61" s="17"/>
    </row>
    <row r="62" spans="1:9" x14ac:dyDescent="0.25">
      <c r="A62" s="29">
        <v>45692</v>
      </c>
      <c r="B62" s="26" t="s">
        <v>111</v>
      </c>
      <c r="C62" s="26" t="str">
        <f>IF(COUNTBLANK(#REF!)=0,#REF!,"Unknown")</f>
        <v>Salary</v>
      </c>
      <c r="D62" s="26" t="s">
        <v>253</v>
      </c>
      <c r="E62" s="31">
        <v>69000</v>
      </c>
      <c r="F62" s="26" t="s">
        <v>23</v>
      </c>
      <c r="G62" s="17"/>
      <c r="H62" s="17"/>
      <c r="I62" s="17"/>
    </row>
    <row r="63" spans="1:9" x14ac:dyDescent="0.25">
      <c r="A63" s="27">
        <v>45693</v>
      </c>
      <c r="B63" s="28" t="s">
        <v>113</v>
      </c>
      <c r="C63" s="26" t="str">
        <f>IF(COUNTBLANK(#REF!)=0,#REF!,"Unknown")</f>
        <v>Salary</v>
      </c>
      <c r="D63" s="28" t="s">
        <v>15</v>
      </c>
      <c r="E63" s="30">
        <v>62000</v>
      </c>
      <c r="F63" s="26" t="s">
        <v>1</v>
      </c>
      <c r="G63" s="17"/>
      <c r="H63" s="17"/>
      <c r="I63" s="17"/>
    </row>
    <row r="64" spans="1:9" x14ac:dyDescent="0.25">
      <c r="A64" s="29">
        <v>45694</v>
      </c>
      <c r="B64" s="26" t="s">
        <v>115</v>
      </c>
      <c r="C64" s="26" t="str">
        <f>IF(COUNTBLANK(#REF!)=0,#REF!,"Unknown")</f>
        <v>Salary</v>
      </c>
      <c r="D64" s="26" t="s">
        <v>105</v>
      </c>
      <c r="E64" s="31">
        <v>87000</v>
      </c>
      <c r="F64" s="26" t="s">
        <v>0</v>
      </c>
      <c r="G64" s="17"/>
      <c r="H64" s="17"/>
      <c r="I64" s="17"/>
    </row>
    <row r="65" spans="1:9" x14ac:dyDescent="0.25">
      <c r="A65" s="27">
        <v>45695</v>
      </c>
      <c r="B65" s="28" t="s">
        <v>117</v>
      </c>
      <c r="C65" s="26" t="str">
        <f>IF(COUNTBLANK(#REF!)=0,#REF!,"Unknown")</f>
        <v>Internship</v>
      </c>
      <c r="D65" s="28" t="s">
        <v>163</v>
      </c>
      <c r="E65" s="30">
        <v>29000</v>
      </c>
      <c r="F65" s="26" t="s">
        <v>1</v>
      </c>
      <c r="G65" s="17"/>
      <c r="H65" s="17"/>
      <c r="I65" s="17"/>
    </row>
    <row r="66" spans="1:9" x14ac:dyDescent="0.25">
      <c r="A66" s="29">
        <v>45696</v>
      </c>
      <c r="B66" s="26" t="s">
        <v>119</v>
      </c>
      <c r="C66" s="26" t="str">
        <f>IF(COUNTBLANK(#REF!)=0,#REF!,"Unknown")</f>
        <v>Business</v>
      </c>
      <c r="D66" s="26" t="s">
        <v>222</v>
      </c>
      <c r="E66" s="31">
        <v>128000</v>
      </c>
      <c r="F66" s="26" t="s">
        <v>46</v>
      </c>
      <c r="G66" s="17"/>
      <c r="H66" s="17"/>
      <c r="I66" s="17"/>
    </row>
    <row r="67" spans="1:9" x14ac:dyDescent="0.25">
      <c r="A67" s="27">
        <v>45697</v>
      </c>
      <c r="B67" s="28" t="s">
        <v>121</v>
      </c>
      <c r="C67" s="26" t="str">
        <f>IF(COUNTBLANK(#REF!)=0,#REF!,"Unknown")</f>
        <v>Salary</v>
      </c>
      <c r="D67" s="28" t="s">
        <v>246</v>
      </c>
      <c r="E67" s="30">
        <v>71000</v>
      </c>
      <c r="F67" s="26" t="s">
        <v>23</v>
      </c>
      <c r="G67" s="17"/>
      <c r="H67" s="17"/>
      <c r="I67" s="17"/>
    </row>
    <row r="68" spans="1:9" x14ac:dyDescent="0.25">
      <c r="A68" s="29">
        <v>45698</v>
      </c>
      <c r="B68" s="26" t="s">
        <v>123</v>
      </c>
      <c r="C68" s="26" t="str">
        <f>IF(COUNTBLANK(#REF!)=0,#REF!,"Unknown")</f>
        <v xml:space="preserve"> Salary </v>
      </c>
      <c r="D68" s="26" t="s">
        <v>247</v>
      </c>
      <c r="E68" s="31">
        <v>65000</v>
      </c>
      <c r="F68" s="26" t="s">
        <v>1</v>
      </c>
      <c r="G68" s="17"/>
      <c r="H68" s="17"/>
      <c r="I68" s="17"/>
    </row>
    <row r="69" spans="1:9" x14ac:dyDescent="0.25">
      <c r="A69" s="27">
        <v>45699</v>
      </c>
      <c r="B69" s="28" t="s">
        <v>126</v>
      </c>
      <c r="C69" s="26" t="str">
        <f>IF(COUNTBLANK(#REF!)=0,#REF!,"Unknown")</f>
        <v>Freelancing</v>
      </c>
      <c r="D69" s="28" t="s">
        <v>248</v>
      </c>
      <c r="E69" s="30">
        <v>53000</v>
      </c>
      <c r="F69" s="26" t="s">
        <v>1</v>
      </c>
      <c r="G69" s="17"/>
      <c r="H69" s="17"/>
      <c r="I69" s="17"/>
    </row>
    <row r="70" spans="1:9" x14ac:dyDescent="0.25">
      <c r="A70" s="29">
        <v>45700</v>
      </c>
      <c r="B70" s="26" t="s">
        <v>128</v>
      </c>
      <c r="C70" s="26" t="str">
        <f>IF(COUNTBLANK(#REF!)=0,#REF!,"Unknown")</f>
        <v>Salary</v>
      </c>
      <c r="D70" s="26" t="s">
        <v>249</v>
      </c>
      <c r="E70" s="31">
        <v>92000</v>
      </c>
      <c r="F70" s="26" t="s">
        <v>23</v>
      </c>
      <c r="G70" s="17"/>
      <c r="H70" s="17"/>
      <c r="I70" s="17"/>
    </row>
    <row r="71" spans="1:9" x14ac:dyDescent="0.25">
      <c r="A71" s="27">
        <v>45701</v>
      </c>
      <c r="B71" s="28" t="s">
        <v>130</v>
      </c>
      <c r="C71" s="26" t="str">
        <f>IF(COUNTBLANK(#REF!)=0,#REF!,"Unknown")</f>
        <v>Business</v>
      </c>
      <c r="D71" s="28" t="s">
        <v>250</v>
      </c>
      <c r="E71" s="30">
        <v>142000</v>
      </c>
      <c r="F71" s="26" t="s">
        <v>33</v>
      </c>
      <c r="G71" s="17"/>
      <c r="H71" s="17"/>
      <c r="I71" s="17"/>
    </row>
    <row r="72" spans="1:9" x14ac:dyDescent="0.25">
      <c r="A72" s="29">
        <v>45702</v>
      </c>
      <c r="B72" s="26" t="s">
        <v>132</v>
      </c>
      <c r="C72" s="26" t="str">
        <f>IF(COUNTBLANK(#REF!)=0,#REF!,"Unknown")</f>
        <v>Salary</v>
      </c>
      <c r="D72" s="26" t="s">
        <v>251</v>
      </c>
      <c r="E72" s="31">
        <v>61000</v>
      </c>
      <c r="F72" s="26" t="s">
        <v>0</v>
      </c>
      <c r="G72" s="17"/>
      <c r="H72" s="17"/>
      <c r="I72" s="17"/>
    </row>
    <row r="73" spans="1:9" x14ac:dyDescent="0.25">
      <c r="A73" s="27">
        <v>45703</v>
      </c>
      <c r="B73" s="28" t="s">
        <v>134</v>
      </c>
      <c r="C73" s="26" t="str">
        <f>IF(COUNTBLANK(#REF!)=0,#REF!,"Unknown")</f>
        <v>Unknown</v>
      </c>
      <c r="D73" s="28" t="s">
        <v>252</v>
      </c>
      <c r="E73" s="30">
        <v>73000</v>
      </c>
      <c r="F73" s="26" t="s">
        <v>1</v>
      </c>
      <c r="G73" s="17"/>
      <c r="H73" s="17"/>
      <c r="I73" s="17"/>
    </row>
    <row r="74" spans="1:9" x14ac:dyDescent="0.25">
      <c r="A74" s="29">
        <v>45704</v>
      </c>
      <c r="B74" s="26" t="s">
        <v>136</v>
      </c>
      <c r="C74" s="26" t="str">
        <f>IF(COUNTBLANK(#REF!)=0,#REF!,"Unknown")</f>
        <v>Freelancing</v>
      </c>
      <c r="D74" s="26" t="s">
        <v>253</v>
      </c>
      <c r="E74" s="31">
        <v>64000</v>
      </c>
      <c r="F74" s="26" t="s">
        <v>23</v>
      </c>
      <c r="G74" s="17"/>
      <c r="H74" s="17"/>
      <c r="I74" s="17"/>
    </row>
    <row r="75" spans="1:9" x14ac:dyDescent="0.25">
      <c r="A75" s="27">
        <v>45705</v>
      </c>
      <c r="B75" s="28" t="s">
        <v>138</v>
      </c>
      <c r="C75" s="26" t="str">
        <f>IF(COUNTBLANK(#REF!)=0,#REF!,"Unknown")</f>
        <v>Salary</v>
      </c>
      <c r="D75" s="28" t="s">
        <v>15</v>
      </c>
      <c r="E75" s="30">
        <v>58000</v>
      </c>
      <c r="F75" s="26" t="s">
        <v>1</v>
      </c>
      <c r="G75" s="17"/>
      <c r="H75" s="17"/>
      <c r="I75" s="17"/>
    </row>
    <row r="76" spans="1:9" x14ac:dyDescent="0.25">
      <c r="A76" s="29">
        <v>45706</v>
      </c>
      <c r="B76" s="26" t="s">
        <v>140</v>
      </c>
      <c r="C76" s="26" t="str">
        <f>IF(COUNTBLANK(#REF!)=0,#REF!,"Unknown")</f>
        <v>Business</v>
      </c>
      <c r="D76" s="26" t="s">
        <v>105</v>
      </c>
      <c r="E76" s="31">
        <v>155000</v>
      </c>
      <c r="F76" s="26" t="s">
        <v>287</v>
      </c>
      <c r="G76" s="17"/>
      <c r="H76" s="17"/>
      <c r="I76" s="17"/>
    </row>
    <row r="77" spans="1:9" x14ac:dyDescent="0.25">
      <c r="A77" s="27">
        <v>45707</v>
      </c>
      <c r="B77" s="28" t="s">
        <v>142</v>
      </c>
      <c r="C77" s="26" t="str">
        <f>IF(COUNTBLANK(#REF!)=0,#REF!,"Unknown")</f>
        <v>Salary</v>
      </c>
      <c r="D77" s="28" t="s">
        <v>163</v>
      </c>
      <c r="E77" s="30">
        <v>70000</v>
      </c>
      <c r="F77" s="26" t="s">
        <v>23</v>
      </c>
      <c r="G77" s="17"/>
      <c r="H77" s="17"/>
      <c r="I77" s="17"/>
    </row>
    <row r="78" spans="1:9" x14ac:dyDescent="0.25">
      <c r="A78" s="29">
        <v>45708</v>
      </c>
      <c r="B78" s="26" t="s">
        <v>144</v>
      </c>
      <c r="C78" s="26" t="str">
        <f>IF(COUNTBLANK(#REF!)=0,#REF!,"Unknown")</f>
        <v>Salary</v>
      </c>
      <c r="D78" s="26" t="s">
        <v>222</v>
      </c>
      <c r="E78" s="31">
        <v>84000</v>
      </c>
      <c r="F78" s="26" t="s">
        <v>0</v>
      </c>
      <c r="G78" s="17"/>
      <c r="H78" s="17"/>
      <c r="I78" s="17"/>
    </row>
    <row r="79" spans="1:9" x14ac:dyDescent="0.25">
      <c r="A79" s="27">
        <v>45709</v>
      </c>
      <c r="B79" s="28" t="s">
        <v>146</v>
      </c>
      <c r="C79" s="26" t="str">
        <f>IF(COUNTBLANK(#REF!)=0,#REF!,"Unknown")</f>
        <v>Freelancing</v>
      </c>
      <c r="D79" s="28" t="s">
        <v>246</v>
      </c>
      <c r="E79" s="30">
        <v>55000</v>
      </c>
      <c r="F79" s="26" t="s">
        <v>1</v>
      </c>
      <c r="G79" s="17"/>
      <c r="H79" s="17"/>
      <c r="I79" s="17"/>
    </row>
    <row r="80" spans="1:9" x14ac:dyDescent="0.25">
      <c r="A80" s="29">
        <v>45710</v>
      </c>
      <c r="B80" s="26" t="s">
        <v>148</v>
      </c>
      <c r="C80" s="26" t="str">
        <f>IF(COUNTBLANK(#REF!)=0,#REF!,"Unknown")</f>
        <v>Business</v>
      </c>
      <c r="D80" s="26" t="s">
        <v>247</v>
      </c>
      <c r="E80" s="31">
        <v>134000</v>
      </c>
      <c r="F80" s="26" t="s">
        <v>33</v>
      </c>
      <c r="G80" s="17"/>
      <c r="H80" s="17"/>
      <c r="I80" s="17"/>
    </row>
    <row r="81" spans="1:9" x14ac:dyDescent="0.25">
      <c r="A81" s="27">
        <v>45711</v>
      </c>
      <c r="B81" s="28" t="s">
        <v>150</v>
      </c>
      <c r="C81" s="26" t="str">
        <f>IF(COUNTBLANK(#REF!)=0,#REF!,"Unknown")</f>
        <v>Salary</v>
      </c>
      <c r="D81" s="28" t="s">
        <v>248</v>
      </c>
      <c r="E81" s="30">
        <v>76000</v>
      </c>
      <c r="F81" s="26" t="s">
        <v>23</v>
      </c>
      <c r="G81" s="17"/>
      <c r="H81" s="17"/>
      <c r="I81" s="17"/>
    </row>
    <row r="82" spans="1:9" x14ac:dyDescent="0.25">
      <c r="A82" s="29">
        <v>45712</v>
      </c>
      <c r="B82" s="26" t="s">
        <v>152</v>
      </c>
      <c r="C82" s="26" t="str">
        <f>IF(COUNTBLANK(#REF!)=0,#REF!,"Unknown")</f>
        <v>Salary</v>
      </c>
      <c r="D82" s="26" t="s">
        <v>249</v>
      </c>
      <c r="E82" s="31">
        <v>61000</v>
      </c>
      <c r="F82" s="26" t="s">
        <v>1</v>
      </c>
      <c r="G82" s="17"/>
      <c r="H82" s="17"/>
      <c r="I82" s="17"/>
    </row>
    <row r="83" spans="1:9" x14ac:dyDescent="0.25">
      <c r="A83" s="27">
        <v>45713</v>
      </c>
      <c r="B83" s="28" t="s">
        <v>154</v>
      </c>
      <c r="C83" s="26" t="str">
        <f>IF(COUNTBLANK(#REF!)=0,#REF!,"Unknown")</f>
        <v>Salary</v>
      </c>
      <c r="D83" s="28" t="s">
        <v>250</v>
      </c>
      <c r="E83" s="30">
        <v>85000</v>
      </c>
      <c r="F83" s="26" t="s">
        <v>33</v>
      </c>
      <c r="G83" s="17"/>
      <c r="H83" s="17"/>
      <c r="I83" s="17"/>
    </row>
    <row r="84" spans="1:9" x14ac:dyDescent="0.25">
      <c r="A84" s="29">
        <v>45714</v>
      </c>
      <c r="B84" s="26" t="s">
        <v>156</v>
      </c>
      <c r="C84" s="26" t="str">
        <f>IF(COUNTBLANK(#REF!)=0,#REF!,"Unknown")</f>
        <v>Internship</v>
      </c>
      <c r="D84" s="26" t="s">
        <v>251</v>
      </c>
      <c r="E84" s="31">
        <v>27000</v>
      </c>
      <c r="F84" s="26" t="s">
        <v>0</v>
      </c>
      <c r="G84" s="17"/>
      <c r="H84" s="17"/>
      <c r="I84" s="17"/>
    </row>
    <row r="85" spans="1:9" x14ac:dyDescent="0.25">
      <c r="A85" s="27">
        <v>45715</v>
      </c>
      <c r="B85" s="28" t="s">
        <v>158</v>
      </c>
      <c r="C85" s="26" t="str">
        <f>IF(COUNTBLANK(#REF!)=0,#REF!,"Unknown")</f>
        <v>Unknown</v>
      </c>
      <c r="D85" s="28" t="s">
        <v>252</v>
      </c>
      <c r="E85" s="30">
        <v>126000</v>
      </c>
      <c r="F85" s="26" t="s">
        <v>23</v>
      </c>
      <c r="G85" s="17"/>
      <c r="H85" s="17"/>
      <c r="I85" s="17"/>
    </row>
    <row r="86" spans="1:9" x14ac:dyDescent="0.25">
      <c r="A86" s="29">
        <v>45716</v>
      </c>
      <c r="B86" s="26" t="s">
        <v>160</v>
      </c>
      <c r="C86" s="26" t="str">
        <f>IF(COUNTBLANK(#REF!)=0,#REF!,"Unknown")</f>
        <v>Salary</v>
      </c>
      <c r="D86" s="26" t="s">
        <v>253</v>
      </c>
      <c r="E86" s="31">
        <v>68000</v>
      </c>
      <c r="F86" s="26" t="s">
        <v>1</v>
      </c>
      <c r="G86" s="17"/>
      <c r="H86" s="17"/>
      <c r="I86" s="17"/>
    </row>
    <row r="87" spans="1:9" x14ac:dyDescent="0.25">
      <c r="A87" s="27">
        <v>45717</v>
      </c>
      <c r="B87" s="28" t="s">
        <v>162</v>
      </c>
      <c r="C87" s="26" t="str">
        <f>IF(COUNTBLANK(#REF!)=0,#REF!,"Unknown")</f>
        <v>Salary</v>
      </c>
      <c r="D87" s="28" t="s">
        <v>15</v>
      </c>
      <c r="E87" s="30">
        <v>79000</v>
      </c>
      <c r="F87" s="26" t="s">
        <v>23</v>
      </c>
      <c r="G87" s="17"/>
      <c r="H87" s="17"/>
      <c r="I87" s="17"/>
    </row>
    <row r="88" spans="1:9" x14ac:dyDescent="0.25">
      <c r="A88" s="29">
        <v>45718</v>
      </c>
      <c r="B88" s="26" t="s">
        <v>165</v>
      </c>
      <c r="C88" s="26" t="str">
        <f>IF(COUNTBLANK(#REF!)=0,#REF!,"Unknown")</f>
        <v>Freelancing</v>
      </c>
      <c r="D88" s="26" t="s">
        <v>105</v>
      </c>
      <c r="E88" s="31">
        <v>49000</v>
      </c>
      <c r="F88" s="26" t="s">
        <v>287</v>
      </c>
      <c r="G88" s="17"/>
      <c r="H88" s="17"/>
      <c r="I88" s="17"/>
    </row>
    <row r="89" spans="1:9" x14ac:dyDescent="0.25">
      <c r="A89" s="27">
        <v>45719</v>
      </c>
      <c r="B89" s="28" t="s">
        <v>167</v>
      </c>
      <c r="C89" s="26" t="str">
        <f>IF(COUNTBLANK(#REF!)=0,#REF!,"Unknown")</f>
        <v>Business</v>
      </c>
      <c r="D89" s="28" t="s">
        <v>163</v>
      </c>
      <c r="E89" s="30">
        <v>146000</v>
      </c>
      <c r="F89" s="26" t="s">
        <v>46</v>
      </c>
      <c r="G89" s="17"/>
      <c r="H89" s="17"/>
      <c r="I89" s="17"/>
    </row>
    <row r="90" spans="1:9" x14ac:dyDescent="0.25">
      <c r="A90" s="29">
        <v>45720</v>
      </c>
      <c r="B90" s="26" t="s">
        <v>169</v>
      </c>
      <c r="C90" s="26" t="str">
        <f>IF(COUNTBLANK(#REF!)=0,#REF!,"Unknown")</f>
        <v>Salary</v>
      </c>
      <c r="D90" s="26" t="s">
        <v>222</v>
      </c>
      <c r="E90" s="31">
        <v>71000</v>
      </c>
      <c r="F90" s="26" t="s">
        <v>1</v>
      </c>
      <c r="G90" s="17"/>
      <c r="H90" s="17"/>
      <c r="I90" s="17"/>
    </row>
    <row r="91" spans="1:9" x14ac:dyDescent="0.25">
      <c r="A91" s="27">
        <v>45721</v>
      </c>
      <c r="B91" s="28" t="s">
        <v>171</v>
      </c>
      <c r="C91" s="26" t="str">
        <f>IF(COUNTBLANK(#REF!)=0,#REF!,"Unknown")</f>
        <v>Salary</v>
      </c>
      <c r="D91" s="28" t="s">
        <v>246</v>
      </c>
      <c r="E91" s="30">
        <v>64000</v>
      </c>
      <c r="F91" s="26" t="s">
        <v>0</v>
      </c>
      <c r="G91" s="17"/>
      <c r="H91" s="17"/>
      <c r="I91" s="17"/>
    </row>
    <row r="92" spans="1:9" x14ac:dyDescent="0.25">
      <c r="A92" s="29">
        <v>45722</v>
      </c>
      <c r="B92" s="26" t="s">
        <v>173</v>
      </c>
      <c r="C92" s="26" t="str">
        <f>IF(COUNTBLANK(#REF!)=0,#REF!,"Unknown")</f>
        <v>Freelancing</v>
      </c>
      <c r="D92" s="26" t="s">
        <v>247</v>
      </c>
      <c r="E92" s="31">
        <v>54000</v>
      </c>
      <c r="F92" s="26" t="s">
        <v>23</v>
      </c>
      <c r="G92" s="17"/>
      <c r="H92" s="17"/>
      <c r="I92" s="17"/>
    </row>
    <row r="93" spans="1:9" x14ac:dyDescent="0.25">
      <c r="A93" s="27">
        <v>45723</v>
      </c>
      <c r="B93" s="28" t="s">
        <v>175</v>
      </c>
      <c r="C93" s="26" t="str">
        <f>IF(COUNTBLANK(#REF!)=0,#REF!,"Unknown")</f>
        <v>Business</v>
      </c>
      <c r="D93" s="28" t="s">
        <v>248</v>
      </c>
      <c r="E93" s="30">
        <v>152000</v>
      </c>
      <c r="F93" s="26" t="s">
        <v>33</v>
      </c>
      <c r="G93" s="17"/>
      <c r="H93" s="17"/>
      <c r="I93" s="17"/>
    </row>
    <row r="94" spans="1:9" x14ac:dyDescent="0.25">
      <c r="A94" s="29">
        <v>45724</v>
      </c>
      <c r="B94" s="26" t="s">
        <v>177</v>
      </c>
      <c r="C94" s="26" t="str">
        <f>IF(COUNTBLANK(#REF!)=0,#REF!,"Unknown")</f>
        <v>Unknown</v>
      </c>
      <c r="D94" s="26" t="s">
        <v>249</v>
      </c>
      <c r="E94" s="31">
        <v>73000</v>
      </c>
      <c r="F94" s="26" t="s">
        <v>1</v>
      </c>
      <c r="G94" s="17"/>
      <c r="H94" s="17"/>
      <c r="I94" s="17"/>
    </row>
    <row r="95" spans="1:9" x14ac:dyDescent="0.25">
      <c r="A95" s="27">
        <v>45725</v>
      </c>
      <c r="B95" s="28" t="s">
        <v>179</v>
      </c>
      <c r="C95" s="26" t="str">
        <f>IF(COUNTBLANK(#REF!)=0,#REF!,"Unknown")</f>
        <v>Salary</v>
      </c>
      <c r="D95" s="28" t="s">
        <v>250</v>
      </c>
      <c r="E95" s="30">
        <v>82000</v>
      </c>
      <c r="F95" s="26" t="s">
        <v>23</v>
      </c>
      <c r="G95" s="17"/>
      <c r="H95" s="17"/>
      <c r="I95" s="17"/>
    </row>
    <row r="96" spans="1:9" x14ac:dyDescent="0.25">
      <c r="A96" s="29">
        <v>45726</v>
      </c>
      <c r="B96" s="26" t="s">
        <v>181</v>
      </c>
      <c r="C96" s="26" t="str">
        <f>IF(COUNTBLANK(#REF!)=0,#REF!,"Unknown")</f>
        <v>Freelancing</v>
      </c>
      <c r="D96" s="26" t="s">
        <v>251</v>
      </c>
      <c r="E96" s="31">
        <v>51000</v>
      </c>
      <c r="F96" s="26" t="s">
        <v>1</v>
      </c>
      <c r="G96" s="17"/>
      <c r="H96" s="17"/>
      <c r="I96" s="17"/>
    </row>
    <row r="97" spans="1:13" x14ac:dyDescent="0.25">
      <c r="A97" s="27">
        <v>45727</v>
      </c>
      <c r="B97" s="28" t="s">
        <v>183</v>
      </c>
      <c r="C97" s="26" t="str">
        <f>IF(COUNTBLANK(#REF!)=0,#REF!,"Unknown")</f>
        <v>Business</v>
      </c>
      <c r="D97" s="28" t="s">
        <v>252</v>
      </c>
      <c r="E97" s="30">
        <v>129000</v>
      </c>
      <c r="F97" s="26" t="s">
        <v>46</v>
      </c>
      <c r="G97" s="17"/>
      <c r="H97" s="17"/>
      <c r="I97" s="17"/>
    </row>
    <row r="98" spans="1:13" x14ac:dyDescent="0.25">
      <c r="A98" s="29">
        <v>45728</v>
      </c>
      <c r="B98" s="26" t="s">
        <v>185</v>
      </c>
      <c r="C98" s="26" t="str">
        <f>IF(COUNTBLANK(#REF!)=0,#REF!,"Unknown")</f>
        <v>Salary</v>
      </c>
      <c r="D98" s="26" t="s">
        <v>253</v>
      </c>
      <c r="E98" s="31">
        <v>69000</v>
      </c>
      <c r="F98" s="26" t="s">
        <v>23</v>
      </c>
      <c r="G98" s="17"/>
      <c r="H98" s="17"/>
      <c r="I98" s="17"/>
    </row>
    <row r="99" spans="1:13" x14ac:dyDescent="0.25">
      <c r="A99" s="27">
        <v>45729</v>
      </c>
      <c r="B99" s="28" t="s">
        <v>187</v>
      </c>
      <c r="C99" s="26" t="str">
        <f>IF(COUNTBLANK(#REF!)=0,#REF!,"Unknown")</f>
        <v>Salary</v>
      </c>
      <c r="D99" s="28" t="s">
        <v>15</v>
      </c>
      <c r="E99" s="30">
        <v>66000</v>
      </c>
      <c r="F99" s="26" t="s">
        <v>1</v>
      </c>
      <c r="G99" s="17"/>
      <c r="H99" s="17"/>
      <c r="I99" s="17"/>
    </row>
    <row r="100" spans="1:13" x14ac:dyDescent="0.25">
      <c r="A100" s="29">
        <v>45730</v>
      </c>
      <c r="B100" s="26" t="s">
        <v>189</v>
      </c>
      <c r="C100" s="26" t="str">
        <f>IF(COUNTBLANK(#REF!)=0,#REF!,"Unknown")</f>
        <v>Unknown</v>
      </c>
      <c r="D100" s="26" t="s">
        <v>105</v>
      </c>
      <c r="E100" s="31">
        <v>32000</v>
      </c>
      <c r="F100" s="26" t="s">
        <v>287</v>
      </c>
      <c r="G100" s="17"/>
      <c r="H100" s="17"/>
      <c r="I100" s="17"/>
    </row>
    <row r="101" spans="1:13" x14ac:dyDescent="0.25">
      <c r="M101">
        <f t="array" ref="M101">M4:M101</f>
        <v>0</v>
      </c>
    </row>
  </sheetData>
  <mergeCells count="3">
    <mergeCell ref="H10:I10"/>
    <mergeCell ref="A1:I1"/>
    <mergeCell ref="H2:I2"/>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
  <sheetViews>
    <sheetView showGridLines="0" workbookViewId="0">
      <selection activeCell="B21" sqref="B21"/>
    </sheetView>
  </sheetViews>
  <sheetFormatPr defaultRowHeight="15" x14ac:dyDescent="0.25"/>
  <cols>
    <col min="1" max="1" width="16.5703125" bestFit="1" customWidth="1"/>
    <col min="2" max="2" width="28.28515625" bestFit="1" customWidth="1"/>
    <col min="15" max="15" width="4" customWidth="1"/>
  </cols>
  <sheetData>
    <row r="1" spans="1:18" ht="33" x14ac:dyDescent="0.45">
      <c r="A1" s="81" t="s">
        <v>320</v>
      </c>
      <c r="B1" s="81"/>
      <c r="C1" s="81"/>
      <c r="D1" s="81"/>
      <c r="E1" s="81"/>
      <c r="F1" s="81"/>
      <c r="G1" s="81"/>
      <c r="H1" s="81"/>
      <c r="I1" s="81"/>
      <c r="J1" s="81"/>
      <c r="K1" s="81"/>
      <c r="L1" s="81"/>
      <c r="M1" s="81"/>
      <c r="N1" s="81"/>
      <c r="O1" s="81"/>
      <c r="P1" s="81"/>
      <c r="Q1" s="81"/>
      <c r="R1" s="81"/>
    </row>
    <row r="3" spans="1:18" x14ac:dyDescent="0.25">
      <c r="A3" s="39" t="s">
        <v>296</v>
      </c>
      <c r="B3" s="39" t="s">
        <v>298</v>
      </c>
    </row>
    <row r="4" spans="1:18" x14ac:dyDescent="0.25">
      <c r="A4" s="35" t="s">
        <v>15</v>
      </c>
      <c r="B4" s="41">
        <v>605000</v>
      </c>
    </row>
    <row r="5" spans="1:18" x14ac:dyDescent="0.25">
      <c r="A5" s="35" t="s">
        <v>105</v>
      </c>
      <c r="B5" s="41">
        <v>681000</v>
      </c>
    </row>
    <row r="6" spans="1:18" x14ac:dyDescent="0.25">
      <c r="A6" s="35" t="s">
        <v>163</v>
      </c>
      <c r="B6" s="41">
        <v>570000</v>
      </c>
    </row>
    <row r="7" spans="1:18" x14ac:dyDescent="0.25">
      <c r="A7" s="35" t="s">
        <v>222</v>
      </c>
      <c r="B7" s="41">
        <v>817000</v>
      </c>
    </row>
    <row r="8" spans="1:18" x14ac:dyDescent="0.25">
      <c r="A8" s="35" t="s">
        <v>246</v>
      </c>
      <c r="B8" s="41">
        <v>552000</v>
      </c>
    </row>
    <row r="9" spans="1:18" x14ac:dyDescent="0.25">
      <c r="A9" s="35" t="s">
        <v>247</v>
      </c>
      <c r="B9" s="41">
        <v>639000</v>
      </c>
    </row>
    <row r="10" spans="1:18" x14ac:dyDescent="0.25">
      <c r="A10" s="35" t="s">
        <v>248</v>
      </c>
      <c r="B10" s="41">
        <v>731000</v>
      </c>
    </row>
    <row r="11" spans="1:18" x14ac:dyDescent="0.25">
      <c r="A11" s="35" t="s">
        <v>249</v>
      </c>
      <c r="B11" s="41">
        <v>630000</v>
      </c>
    </row>
    <row r="12" spans="1:18" x14ac:dyDescent="0.25">
      <c r="A12" s="35" t="s">
        <v>250</v>
      </c>
      <c r="B12" s="41">
        <v>661000</v>
      </c>
    </row>
    <row r="13" spans="1:18" x14ac:dyDescent="0.25">
      <c r="A13" s="35" t="s">
        <v>251</v>
      </c>
      <c r="B13" s="41">
        <v>465000</v>
      </c>
    </row>
    <row r="14" spans="1:18" x14ac:dyDescent="0.25">
      <c r="A14" s="35" t="s">
        <v>252</v>
      </c>
      <c r="B14" s="41">
        <v>825000</v>
      </c>
    </row>
    <row r="15" spans="1:18" x14ac:dyDescent="0.25">
      <c r="A15" s="35" t="s">
        <v>253</v>
      </c>
      <c r="B15" s="41">
        <v>695000</v>
      </c>
    </row>
    <row r="16" spans="1:18" x14ac:dyDescent="0.25">
      <c r="A16" s="39" t="s">
        <v>297</v>
      </c>
      <c r="B16" s="44">
        <v>7871000</v>
      </c>
    </row>
  </sheetData>
  <autoFilter ref="A3:B16"/>
  <mergeCells count="1">
    <mergeCell ref="A1:R1"/>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
  <sheetViews>
    <sheetView zoomScale="89" zoomScaleNormal="89" workbookViewId="0">
      <selection activeCell="F19" sqref="F19"/>
    </sheetView>
  </sheetViews>
  <sheetFormatPr defaultRowHeight="15" x14ac:dyDescent="0.25"/>
  <cols>
    <col min="1" max="1" width="15.42578125" customWidth="1"/>
    <col min="2" max="2" width="10.85546875" customWidth="1"/>
    <col min="3" max="3" width="19.140625" bestFit="1" customWidth="1"/>
    <col min="4" max="4" width="17.140625" customWidth="1"/>
    <col min="5" max="5" width="19" bestFit="1" customWidth="1"/>
    <col min="7" max="7" width="18.5703125" bestFit="1" customWidth="1"/>
    <col min="8" max="8" width="18.140625" customWidth="1"/>
    <col min="9" max="9" width="9.140625" customWidth="1"/>
    <col min="10" max="10" width="14.140625" bestFit="1" customWidth="1"/>
    <col min="11" max="11" width="14.28515625" bestFit="1" customWidth="1"/>
    <col min="13" max="14" width="12.28515625" bestFit="1" customWidth="1"/>
  </cols>
  <sheetData>
    <row r="1" spans="1:15" ht="64.5" customHeight="1" x14ac:dyDescent="0.8">
      <c r="A1" s="82" t="s">
        <v>266</v>
      </c>
      <c r="B1" s="82"/>
      <c r="C1" s="82"/>
      <c r="D1" s="82"/>
      <c r="E1" s="82"/>
      <c r="F1" s="82"/>
      <c r="G1" s="82"/>
      <c r="H1" s="82"/>
      <c r="I1" s="82"/>
      <c r="J1" s="82"/>
      <c r="K1" s="82"/>
      <c r="L1" s="82"/>
      <c r="M1" s="82"/>
      <c r="N1" s="38"/>
    </row>
    <row r="2" spans="1:15" x14ac:dyDescent="0.25">
      <c r="A2" s="6" t="s">
        <v>3</v>
      </c>
      <c r="B2" s="6" t="s">
        <v>10</v>
      </c>
      <c r="C2" s="20" t="s">
        <v>261</v>
      </c>
      <c r="D2" s="6" t="s">
        <v>270</v>
      </c>
      <c r="E2" s="8" t="s">
        <v>269</v>
      </c>
      <c r="F2" s="17"/>
      <c r="G2" s="77" t="s">
        <v>280</v>
      </c>
      <c r="H2" s="77"/>
      <c r="I2" s="17"/>
      <c r="J2" s="77" t="s">
        <v>283</v>
      </c>
      <c r="K2" s="77"/>
      <c r="L2" s="17"/>
      <c r="M2" s="9" t="s">
        <v>260</v>
      </c>
      <c r="N2" s="25"/>
    </row>
    <row r="3" spans="1:15" x14ac:dyDescent="0.25">
      <c r="A3" s="27">
        <v>45659</v>
      </c>
      <c r="B3" s="28" t="s">
        <v>15</v>
      </c>
      <c r="C3" s="26" t="str">
        <f>IF(COUNTBLANK(#REF!)=0,#REF!,"Unknown")</f>
        <v>Rent</v>
      </c>
      <c r="D3" s="30">
        <v>18000</v>
      </c>
      <c r="E3" s="26" t="s">
        <v>1</v>
      </c>
      <c r="F3" s="17"/>
      <c r="G3" s="9" t="s">
        <v>281</v>
      </c>
      <c r="H3" s="9" t="s">
        <v>262</v>
      </c>
      <c r="I3" s="5"/>
      <c r="J3" s="26" t="s">
        <v>284</v>
      </c>
      <c r="K3" s="26" t="s">
        <v>0</v>
      </c>
      <c r="L3" s="23"/>
      <c r="M3" s="26" t="s">
        <v>1</v>
      </c>
      <c r="N3" s="37"/>
      <c r="O3" s="7"/>
    </row>
    <row r="4" spans="1:15" x14ac:dyDescent="0.25">
      <c r="A4" s="29">
        <v>45660</v>
      </c>
      <c r="B4" s="26" t="s">
        <v>105</v>
      </c>
      <c r="C4" s="26" t="str">
        <f>IF(COUNTBLANK(#REF!)=0,#REF!,"Unknown")</f>
        <v>Groceries</v>
      </c>
      <c r="D4" s="31">
        <v>6500</v>
      </c>
      <c r="E4" s="26" t="s">
        <v>23</v>
      </c>
      <c r="F4" s="17"/>
      <c r="G4" s="26" t="s">
        <v>5</v>
      </c>
      <c r="H4" s="31">
        <f>SUMIF($C:$C,G4,$D:$D)</f>
        <v>327000</v>
      </c>
      <c r="I4" s="24"/>
      <c r="J4" s="26" t="s">
        <v>262</v>
      </c>
      <c r="K4" s="31">
        <f>SUMIF($E:$E,K3,$D:$D)</f>
        <v>68300</v>
      </c>
      <c r="L4" s="23"/>
      <c r="M4" s="26" t="s">
        <v>0</v>
      </c>
      <c r="N4" s="37"/>
      <c r="O4" s="7"/>
    </row>
    <row r="5" spans="1:15" x14ac:dyDescent="0.25">
      <c r="A5" s="27">
        <v>45661</v>
      </c>
      <c r="B5" s="28" t="s">
        <v>163</v>
      </c>
      <c r="C5" s="26" t="str">
        <f>IF(COUNTBLANK(#REF!)=0,#REF!,"Unknown")</f>
        <v>Unknown</v>
      </c>
      <c r="D5" s="30">
        <v>3200</v>
      </c>
      <c r="E5" s="26" t="s">
        <v>0</v>
      </c>
      <c r="F5" s="17"/>
      <c r="G5" s="26" t="s">
        <v>63</v>
      </c>
      <c r="H5" s="31">
        <f t="shared" ref="H5:H7" si="0">SUMIF($C:$C,G5,$D:$D)</f>
        <v>41300</v>
      </c>
      <c r="I5" s="24"/>
      <c r="J5" s="17"/>
      <c r="K5" s="17"/>
      <c r="L5" s="23"/>
      <c r="M5" s="26" t="s">
        <v>33</v>
      </c>
      <c r="N5" s="37"/>
      <c r="O5" s="7"/>
    </row>
    <row r="6" spans="1:15" x14ac:dyDescent="0.25">
      <c r="A6" s="29">
        <v>45662</v>
      </c>
      <c r="B6" s="26" t="s">
        <v>222</v>
      </c>
      <c r="C6" s="26" t="str">
        <f>IF(COUNTBLANK(#REF!)=0,#REF!,"Unknown")</f>
        <v>Utilities</v>
      </c>
      <c r="D6" s="31">
        <v>5400</v>
      </c>
      <c r="E6" s="26" t="s">
        <v>33</v>
      </c>
      <c r="F6" s="17"/>
      <c r="G6" s="26" t="s">
        <v>42</v>
      </c>
      <c r="H6" s="31">
        <f t="shared" si="0"/>
        <v>56000</v>
      </c>
      <c r="I6" s="24"/>
      <c r="J6" s="17"/>
      <c r="K6" s="17"/>
      <c r="L6" s="23"/>
      <c r="M6" s="26" t="s">
        <v>46</v>
      </c>
      <c r="N6" s="37"/>
      <c r="O6" s="7"/>
    </row>
    <row r="7" spans="1:15" x14ac:dyDescent="0.25">
      <c r="A7" s="27">
        <v>45663</v>
      </c>
      <c r="B7" s="28" t="s">
        <v>246</v>
      </c>
      <c r="C7" s="26" t="str">
        <f>IF(COUNTBLANK(#REF!)=0,#REF!,"Unknown")</f>
        <v>Entertainment</v>
      </c>
      <c r="D7" s="30">
        <v>7600</v>
      </c>
      <c r="E7" s="26" t="s">
        <v>23</v>
      </c>
      <c r="F7" s="17"/>
      <c r="G7" s="26" t="s">
        <v>58</v>
      </c>
      <c r="H7" s="31">
        <f t="shared" si="0"/>
        <v>78900</v>
      </c>
      <c r="I7" s="24"/>
      <c r="J7" s="17"/>
      <c r="K7" s="17"/>
      <c r="L7" s="23"/>
      <c r="M7" s="23"/>
      <c r="N7" s="37"/>
      <c r="O7" s="7"/>
    </row>
    <row r="8" spans="1:15" x14ac:dyDescent="0.25">
      <c r="A8" s="29">
        <v>45664</v>
      </c>
      <c r="B8" s="26" t="s">
        <v>247</v>
      </c>
      <c r="C8" s="26" t="str">
        <f>IF(COUNTBLANK(#REF!)=0,#REF!,"Unknown")</f>
        <v>Healthcare</v>
      </c>
      <c r="D8" s="31">
        <v>2400</v>
      </c>
      <c r="E8" s="26" t="s">
        <v>1</v>
      </c>
      <c r="F8" s="17"/>
      <c r="G8" s="24"/>
      <c r="H8" s="24"/>
      <c r="I8" s="24"/>
      <c r="J8" s="17"/>
      <c r="K8" s="17"/>
      <c r="L8" s="23"/>
      <c r="M8" s="23"/>
      <c r="N8" s="23"/>
      <c r="O8" s="7"/>
    </row>
    <row r="9" spans="1:15" x14ac:dyDescent="0.25">
      <c r="A9" s="27">
        <v>45665</v>
      </c>
      <c r="B9" s="28" t="s">
        <v>248</v>
      </c>
      <c r="C9" s="26" t="str">
        <f>IF(COUNTBLANK(#REF!)=0,#REF!,"Unknown")</f>
        <v>Rent</v>
      </c>
      <c r="D9" s="30">
        <v>25000</v>
      </c>
      <c r="E9" s="26" t="s">
        <v>46</v>
      </c>
      <c r="F9" s="17"/>
      <c r="G9" s="77" t="s">
        <v>282</v>
      </c>
      <c r="H9" s="77"/>
      <c r="I9" s="17"/>
      <c r="J9" s="77" t="s">
        <v>285</v>
      </c>
      <c r="K9" s="77"/>
      <c r="L9" s="17"/>
      <c r="M9" s="17"/>
      <c r="N9" s="17"/>
    </row>
    <row r="10" spans="1:15" x14ac:dyDescent="0.25">
      <c r="A10" s="29">
        <v>45666</v>
      </c>
      <c r="B10" s="26" t="s">
        <v>249</v>
      </c>
      <c r="C10" s="26" t="str">
        <f>IF(COUNTBLANK(#REF!)=0,#REF!,"Unknown")</f>
        <v>Education</v>
      </c>
      <c r="D10" s="31">
        <v>4500</v>
      </c>
      <c r="E10" s="26" t="s">
        <v>1</v>
      </c>
      <c r="F10" s="17"/>
      <c r="G10" s="26" t="s">
        <v>15</v>
      </c>
      <c r="H10" s="31">
        <f>SUMIF($B:$B,G10,$D:$D)</f>
        <v>112500</v>
      </c>
      <c r="I10" s="17"/>
      <c r="J10" s="26" t="s">
        <v>286</v>
      </c>
      <c r="K10" s="26" t="s">
        <v>15</v>
      </c>
      <c r="L10" s="17"/>
      <c r="M10" s="17"/>
      <c r="N10" s="17"/>
    </row>
    <row r="11" spans="1:15" x14ac:dyDescent="0.25">
      <c r="A11" s="27">
        <v>45667</v>
      </c>
      <c r="B11" s="28" t="s">
        <v>250</v>
      </c>
      <c r="C11" s="26" t="str">
        <f>IF(COUNTBLANK(#REF!)=0,#REF!,"Unknown")</f>
        <v>Unknown</v>
      </c>
      <c r="D11" s="30">
        <v>8200</v>
      </c>
      <c r="E11" s="26" t="s">
        <v>23</v>
      </c>
      <c r="F11" s="17"/>
      <c r="G11" s="26" t="s">
        <v>105</v>
      </c>
      <c r="H11" s="31">
        <f t="shared" ref="H11:H21" si="1">SUMIF($B:$B,G11,$D:$D)</f>
        <v>99100</v>
      </c>
      <c r="I11" s="5"/>
      <c r="J11" s="26" t="s">
        <v>262</v>
      </c>
      <c r="K11" s="31">
        <f>SUMIF($B:$B,K10,$D:$D)</f>
        <v>112500</v>
      </c>
      <c r="L11" s="17"/>
      <c r="M11" s="17"/>
      <c r="N11" s="17"/>
    </row>
    <row r="12" spans="1:15" x14ac:dyDescent="0.25">
      <c r="A12" s="29">
        <v>45668</v>
      </c>
      <c r="B12" s="26" t="s">
        <v>251</v>
      </c>
      <c r="C12" s="26" t="str">
        <f>IF(COUNTBLANK(#REF!)=0,#REF!,"Unknown")</f>
        <v>Shopping</v>
      </c>
      <c r="D12" s="31">
        <v>9200</v>
      </c>
      <c r="E12" s="26" t="s">
        <v>1</v>
      </c>
      <c r="F12" s="17"/>
      <c r="G12" s="26" t="s">
        <v>163</v>
      </c>
      <c r="H12" s="31">
        <f t="shared" si="1"/>
        <v>71700</v>
      </c>
      <c r="I12" s="5"/>
      <c r="J12" s="17"/>
      <c r="K12" s="17"/>
      <c r="L12" s="17"/>
      <c r="M12" s="17"/>
      <c r="N12" s="17"/>
    </row>
    <row r="13" spans="1:15" x14ac:dyDescent="0.25">
      <c r="A13" s="27">
        <v>45669</v>
      </c>
      <c r="B13" s="28" t="s">
        <v>252</v>
      </c>
      <c r="C13" s="26" t="str">
        <f>IF(COUNTBLANK(#REF!)=0,#REF!,"Unknown")</f>
        <v>Investment</v>
      </c>
      <c r="D13" s="30">
        <v>35000</v>
      </c>
      <c r="E13" s="26" t="s">
        <v>33</v>
      </c>
      <c r="F13" s="17"/>
      <c r="G13" s="26" t="s">
        <v>222</v>
      </c>
      <c r="H13" s="31">
        <f t="shared" si="1"/>
        <v>81700</v>
      </c>
      <c r="I13" s="5"/>
      <c r="J13" s="17"/>
      <c r="K13" s="17"/>
      <c r="L13" s="17"/>
      <c r="M13" s="17"/>
      <c r="N13" s="17"/>
    </row>
    <row r="14" spans="1:15" x14ac:dyDescent="0.25">
      <c r="A14" s="29">
        <v>45670</v>
      </c>
      <c r="B14" s="26" t="s">
        <v>253</v>
      </c>
      <c r="C14" s="26" t="str">
        <f>IF(COUNTBLANK(#REF!)=0,#REF!,"Unknown")</f>
        <v>Food</v>
      </c>
      <c r="D14" s="31">
        <v>5800</v>
      </c>
      <c r="E14" s="26" t="s">
        <v>287</v>
      </c>
      <c r="F14" s="17"/>
      <c r="G14" s="26" t="s">
        <v>246</v>
      </c>
      <c r="H14" s="31">
        <f t="shared" si="1"/>
        <v>50100</v>
      </c>
      <c r="I14" s="5"/>
      <c r="J14" s="17"/>
      <c r="K14" s="17"/>
      <c r="L14" s="17"/>
      <c r="M14" s="17"/>
      <c r="N14" s="17"/>
    </row>
    <row r="15" spans="1:15" x14ac:dyDescent="0.25">
      <c r="A15" s="27">
        <v>45671</v>
      </c>
      <c r="B15" s="28" t="s">
        <v>15</v>
      </c>
      <c r="C15" s="26" t="str">
        <f>IF(COUNTBLANK(#REF!)=0,#REF!,"Unknown")</f>
        <v>Rent</v>
      </c>
      <c r="D15" s="30">
        <v>21000</v>
      </c>
      <c r="E15" s="26" t="s">
        <v>1</v>
      </c>
      <c r="F15" s="17"/>
      <c r="G15" s="26" t="s">
        <v>247</v>
      </c>
      <c r="H15" s="31">
        <f t="shared" si="1"/>
        <v>109500</v>
      </c>
      <c r="I15" s="5"/>
      <c r="J15" s="17"/>
      <c r="K15" s="17"/>
      <c r="L15" s="17"/>
      <c r="M15" s="17"/>
      <c r="N15" s="17"/>
    </row>
    <row r="16" spans="1:15" x14ac:dyDescent="0.25">
      <c r="A16" s="29">
        <v>45672</v>
      </c>
      <c r="B16" s="26" t="s">
        <v>105</v>
      </c>
      <c r="C16" s="26" t="str">
        <f>IF(COUNTBLANK(#REF!)=0,#REF!,"Unknown")</f>
        <v>Entertainment</v>
      </c>
      <c r="D16" s="31">
        <v>4200</v>
      </c>
      <c r="E16" s="26" t="s">
        <v>23</v>
      </c>
      <c r="F16" s="17"/>
      <c r="G16" s="26" t="s">
        <v>248</v>
      </c>
      <c r="H16" s="31">
        <f t="shared" si="1"/>
        <v>103300</v>
      </c>
      <c r="I16" s="5"/>
      <c r="J16" s="17"/>
      <c r="K16" s="17"/>
      <c r="L16" s="17"/>
      <c r="M16" s="17"/>
      <c r="N16" s="17"/>
    </row>
    <row r="17" spans="1:14" x14ac:dyDescent="0.25">
      <c r="A17" s="27">
        <v>45673</v>
      </c>
      <c r="B17" s="28" t="s">
        <v>163</v>
      </c>
      <c r="C17" s="26" t="str">
        <f>IF(COUNTBLANK(#REF!)=0,#REF!,"Unknown")</f>
        <v>Healthcare</v>
      </c>
      <c r="D17" s="30">
        <v>6800</v>
      </c>
      <c r="E17" s="26" t="s">
        <v>33</v>
      </c>
      <c r="F17" s="17"/>
      <c r="G17" s="26" t="s">
        <v>249</v>
      </c>
      <c r="H17" s="31">
        <f t="shared" si="1"/>
        <v>118900</v>
      </c>
      <c r="I17" s="5"/>
      <c r="J17" s="17"/>
      <c r="K17" s="17"/>
      <c r="L17" s="17"/>
      <c r="M17" s="17"/>
      <c r="N17" s="17"/>
    </row>
    <row r="18" spans="1:14" x14ac:dyDescent="0.25">
      <c r="A18" s="29">
        <v>45674</v>
      </c>
      <c r="B18" s="26" t="s">
        <v>222</v>
      </c>
      <c r="C18" s="26" t="str">
        <f>IF(COUNTBLANK(#REF!)=0,#REF!,"Unknown")</f>
        <v>Groceries</v>
      </c>
      <c r="D18" s="31">
        <v>5900</v>
      </c>
      <c r="E18" s="26" t="s">
        <v>1</v>
      </c>
      <c r="F18" s="17"/>
      <c r="G18" s="26" t="s">
        <v>250</v>
      </c>
      <c r="H18" s="31">
        <f t="shared" si="1"/>
        <v>95000</v>
      </c>
      <c r="I18" s="5"/>
      <c r="J18" s="17"/>
      <c r="K18" s="17"/>
      <c r="L18" s="17"/>
      <c r="M18" s="17"/>
      <c r="N18" s="17"/>
    </row>
    <row r="19" spans="1:14" x14ac:dyDescent="0.25">
      <c r="A19" s="27">
        <v>45675</v>
      </c>
      <c r="B19" s="28" t="s">
        <v>246</v>
      </c>
      <c r="C19" s="26" t="str">
        <f>IF(COUNTBLANK(#REF!)=0,#REF!,"Unknown")</f>
        <v>Transport</v>
      </c>
      <c r="D19" s="30">
        <v>4100</v>
      </c>
      <c r="E19" s="26" t="s">
        <v>0</v>
      </c>
      <c r="F19" s="17"/>
      <c r="G19" s="26" t="s">
        <v>251</v>
      </c>
      <c r="H19" s="31">
        <f t="shared" si="1"/>
        <v>67500</v>
      </c>
      <c r="I19" s="5"/>
      <c r="J19" s="17"/>
      <c r="K19" s="17"/>
      <c r="L19" s="17"/>
      <c r="M19" s="17"/>
      <c r="N19" s="17"/>
    </row>
    <row r="20" spans="1:14" x14ac:dyDescent="0.25">
      <c r="A20" s="29">
        <v>45676</v>
      </c>
      <c r="B20" s="26" t="s">
        <v>247</v>
      </c>
      <c r="C20" s="26" t="str">
        <f>IF(COUNTBLANK(#REF!)=0,#REF!,"Unknown")</f>
        <v>Unknown</v>
      </c>
      <c r="D20" s="31">
        <v>9700</v>
      </c>
      <c r="E20" s="26" t="s">
        <v>23</v>
      </c>
      <c r="F20" s="17"/>
      <c r="G20" s="26" t="s">
        <v>252</v>
      </c>
      <c r="H20" s="31">
        <f t="shared" si="1"/>
        <v>148300</v>
      </c>
      <c r="I20" s="5"/>
      <c r="J20" s="17"/>
      <c r="K20" s="17"/>
      <c r="L20" s="17"/>
      <c r="M20" s="17"/>
      <c r="N20" s="17"/>
    </row>
    <row r="21" spans="1:14" x14ac:dyDescent="0.25">
      <c r="A21" s="27">
        <v>45677</v>
      </c>
      <c r="B21" s="28" t="s">
        <v>248</v>
      </c>
      <c r="C21" s="26" t="str">
        <f>IF(COUNTBLANK(#REF!)=0,#REF!,"Unknown")</f>
        <v>Utilities</v>
      </c>
      <c r="D21" s="30">
        <v>7800</v>
      </c>
      <c r="E21" s="26" t="s">
        <v>46</v>
      </c>
      <c r="F21" s="17"/>
      <c r="G21" s="26" t="s">
        <v>253</v>
      </c>
      <c r="H21" s="31">
        <f t="shared" si="1"/>
        <v>82300</v>
      </c>
      <c r="I21" s="5"/>
      <c r="J21" s="17"/>
      <c r="K21" s="17"/>
      <c r="L21" s="17"/>
      <c r="M21" s="17"/>
      <c r="N21" s="17"/>
    </row>
    <row r="22" spans="1:14" x14ac:dyDescent="0.25">
      <c r="A22" s="29">
        <v>45678</v>
      </c>
      <c r="B22" s="26" t="s">
        <v>249</v>
      </c>
      <c r="C22" s="26" t="str">
        <f>IF(COUNTBLANK(#REF!)=0,#REF!,"Unknown")</f>
        <v>Food</v>
      </c>
      <c r="D22" s="31">
        <v>6300</v>
      </c>
      <c r="E22" s="26" t="s">
        <v>1</v>
      </c>
      <c r="F22" s="17"/>
      <c r="G22" s="5"/>
      <c r="H22" s="5"/>
      <c r="I22" s="5"/>
      <c r="J22" s="17"/>
      <c r="K22" s="17"/>
      <c r="L22" s="17"/>
      <c r="M22" s="17"/>
      <c r="N22" s="17"/>
    </row>
    <row r="23" spans="1:14" x14ac:dyDescent="0.25">
      <c r="A23" s="27">
        <v>45679</v>
      </c>
      <c r="B23" s="28" t="s">
        <v>250</v>
      </c>
      <c r="C23" s="26" t="str">
        <f>IF(COUNTBLANK(#REF!)=0,#REF!,"Unknown")</f>
        <v>Rent</v>
      </c>
      <c r="D23" s="30">
        <v>16000</v>
      </c>
      <c r="E23" s="26" t="s">
        <v>0</v>
      </c>
      <c r="F23" s="17"/>
      <c r="G23" s="5"/>
      <c r="H23" s="5"/>
      <c r="I23" s="5"/>
      <c r="J23" s="17"/>
      <c r="K23" s="17"/>
      <c r="L23" s="17"/>
      <c r="M23" s="17"/>
      <c r="N23" s="17"/>
    </row>
    <row r="24" spans="1:14" x14ac:dyDescent="0.25">
      <c r="A24" s="29">
        <v>45680</v>
      </c>
      <c r="B24" s="26" t="s">
        <v>251</v>
      </c>
      <c r="C24" s="26" t="str">
        <f>IF(COUNTBLANK(#REF!)=0,#REF!,"Unknown")</f>
        <v>Shopping</v>
      </c>
      <c r="D24" s="31">
        <v>7600</v>
      </c>
      <c r="E24" s="26" t="s">
        <v>23</v>
      </c>
      <c r="F24" s="17"/>
      <c r="G24" s="5"/>
      <c r="H24" s="5"/>
      <c r="I24" s="5"/>
      <c r="J24" s="17"/>
      <c r="K24" s="17"/>
      <c r="L24" s="17"/>
      <c r="M24" s="17"/>
      <c r="N24" s="17"/>
    </row>
    <row r="25" spans="1:14" x14ac:dyDescent="0.25">
      <c r="A25" s="27">
        <v>45681</v>
      </c>
      <c r="B25" s="28" t="s">
        <v>252</v>
      </c>
      <c r="C25" s="26" t="str">
        <f>IF(COUNTBLANK(#REF!)=0,#REF!,"Unknown")</f>
        <v>Investment</v>
      </c>
      <c r="D25" s="30">
        <v>28000</v>
      </c>
      <c r="E25" s="26" t="s">
        <v>33</v>
      </c>
      <c r="F25" s="17"/>
      <c r="G25" s="17"/>
      <c r="H25" s="17"/>
      <c r="I25" s="17"/>
      <c r="J25" s="17"/>
      <c r="K25" s="17"/>
      <c r="L25" s="17"/>
      <c r="M25" s="17"/>
      <c r="N25" s="17"/>
    </row>
    <row r="26" spans="1:14" x14ac:dyDescent="0.25">
      <c r="A26" s="29">
        <v>45682</v>
      </c>
      <c r="B26" s="26" t="s">
        <v>253</v>
      </c>
      <c r="C26" s="26" t="str">
        <f>IF(COUNTBLANK(#REF!)=0,#REF!,"Unknown")</f>
        <v>Education</v>
      </c>
      <c r="D26" s="31">
        <v>5300</v>
      </c>
      <c r="E26" s="26" t="s">
        <v>1</v>
      </c>
      <c r="F26" s="17"/>
      <c r="G26" s="17"/>
      <c r="H26" s="17"/>
      <c r="I26" s="17"/>
      <c r="J26" s="17"/>
      <c r="K26" s="17"/>
      <c r="L26" s="17"/>
      <c r="M26" s="17"/>
      <c r="N26" s="17"/>
    </row>
    <row r="27" spans="1:14" x14ac:dyDescent="0.25">
      <c r="A27" s="27">
        <v>45683</v>
      </c>
      <c r="B27" s="28" t="s">
        <v>15</v>
      </c>
      <c r="C27" s="26" t="str">
        <f>IF(COUNTBLANK(#REF!)=0,#REF!,"Unknown")</f>
        <v>Unknown</v>
      </c>
      <c r="D27" s="30">
        <v>8600</v>
      </c>
      <c r="E27" s="26" t="s">
        <v>23</v>
      </c>
      <c r="F27" s="17"/>
      <c r="G27" s="17"/>
      <c r="H27" s="17"/>
      <c r="I27" s="17"/>
      <c r="J27" s="17"/>
      <c r="K27" s="17"/>
      <c r="L27" s="17"/>
      <c r="M27" s="17"/>
      <c r="N27" s="17"/>
    </row>
    <row r="28" spans="1:14" x14ac:dyDescent="0.25">
      <c r="A28" s="29">
        <v>45733</v>
      </c>
      <c r="B28" s="26" t="s">
        <v>105</v>
      </c>
      <c r="C28" s="26" t="str">
        <f>IF(COUNTBLANK(#REF!)=0,#REF!,"Unknown")</f>
        <v>Travel</v>
      </c>
      <c r="D28" s="31">
        <v>9400</v>
      </c>
      <c r="E28" s="26" t="s">
        <v>1</v>
      </c>
      <c r="F28" s="17"/>
      <c r="G28" s="17"/>
      <c r="H28" s="17"/>
      <c r="I28" s="17"/>
      <c r="J28" s="17"/>
      <c r="K28" s="17"/>
      <c r="L28" s="17"/>
      <c r="M28" s="17"/>
      <c r="N28" s="17"/>
    </row>
    <row r="29" spans="1:14" x14ac:dyDescent="0.25">
      <c r="A29" s="27">
        <v>45734</v>
      </c>
      <c r="B29" s="28" t="s">
        <v>163</v>
      </c>
      <c r="C29" s="26" t="str">
        <f>IF(COUNTBLANK(#REF!)=0,#REF!,"Unknown")</f>
        <v>Food</v>
      </c>
      <c r="D29" s="30">
        <v>5200</v>
      </c>
      <c r="E29" s="26" t="s">
        <v>23</v>
      </c>
      <c r="F29" s="17"/>
      <c r="G29" s="17"/>
      <c r="H29" s="17"/>
      <c r="I29" s="17"/>
      <c r="J29" s="17"/>
      <c r="K29" s="17"/>
      <c r="L29" s="17"/>
      <c r="M29" s="17"/>
      <c r="N29" s="17"/>
    </row>
    <row r="30" spans="1:14" x14ac:dyDescent="0.25">
      <c r="A30" s="29">
        <v>45735</v>
      </c>
      <c r="B30" s="26" t="s">
        <v>222</v>
      </c>
      <c r="C30" s="26" t="str">
        <f>IF(COUNTBLANK(#REF!)=0,#REF!,"Unknown")</f>
        <v>Investment</v>
      </c>
      <c r="D30" s="31">
        <v>41000</v>
      </c>
      <c r="E30" s="26" t="s">
        <v>46</v>
      </c>
      <c r="F30" s="17"/>
      <c r="G30" s="17"/>
      <c r="H30" s="17"/>
      <c r="I30" s="17"/>
      <c r="J30" s="17"/>
      <c r="K30" s="17"/>
      <c r="L30" s="17"/>
      <c r="M30" s="17"/>
      <c r="N30" s="17"/>
    </row>
    <row r="31" spans="1:14" x14ac:dyDescent="0.25">
      <c r="A31" s="27">
        <v>45736</v>
      </c>
      <c r="B31" s="28" t="s">
        <v>246</v>
      </c>
      <c r="C31" s="26" t="str">
        <f>IF(COUNTBLANK(#REF!)=0,#REF!,"Unknown")</f>
        <v>Utilities</v>
      </c>
      <c r="D31" s="30">
        <v>6300</v>
      </c>
      <c r="E31" s="26" t="s">
        <v>1</v>
      </c>
      <c r="F31" s="17"/>
      <c r="G31" s="17"/>
      <c r="H31" s="17"/>
      <c r="I31" s="17"/>
      <c r="J31" s="17"/>
      <c r="K31" s="17"/>
      <c r="L31" s="17"/>
      <c r="M31" s="17"/>
      <c r="N31" s="17"/>
    </row>
    <row r="32" spans="1:14" x14ac:dyDescent="0.25">
      <c r="A32" s="29">
        <v>45737</v>
      </c>
      <c r="B32" s="26" t="s">
        <v>247</v>
      </c>
      <c r="C32" s="26" t="str">
        <f>IF(COUNTBLANK(#REF!)=0,#REF!,"Unknown")</f>
        <v>Transport</v>
      </c>
      <c r="D32" s="31">
        <v>4800</v>
      </c>
      <c r="E32" s="26" t="s">
        <v>0</v>
      </c>
      <c r="F32" s="17"/>
      <c r="G32" s="17"/>
      <c r="H32" s="17"/>
      <c r="I32" s="17"/>
      <c r="J32" s="17"/>
      <c r="K32" s="17"/>
      <c r="L32" s="17"/>
      <c r="M32" s="17"/>
      <c r="N32" s="17"/>
    </row>
    <row r="33" spans="1:14" x14ac:dyDescent="0.25">
      <c r="A33" s="27">
        <v>45738</v>
      </c>
      <c r="B33" s="28" t="s">
        <v>248</v>
      </c>
      <c r="C33" s="26" t="str">
        <f>IF(COUNTBLANK(#REF!)=0,#REF!,"Unknown")</f>
        <v>Shopping</v>
      </c>
      <c r="D33" s="30">
        <v>8100</v>
      </c>
      <c r="E33" s="26" t="s">
        <v>23</v>
      </c>
      <c r="F33" s="17"/>
      <c r="G33" s="17"/>
      <c r="H33" s="17"/>
      <c r="I33" s="17"/>
      <c r="J33" s="17"/>
      <c r="K33" s="17"/>
      <c r="L33" s="17"/>
      <c r="M33" s="17"/>
      <c r="N33" s="17"/>
    </row>
    <row r="34" spans="1:14" x14ac:dyDescent="0.25">
      <c r="A34" s="29">
        <v>45739</v>
      </c>
      <c r="B34" s="26" t="s">
        <v>249</v>
      </c>
      <c r="C34" s="26" t="str">
        <f>IF(COUNTBLANK(#REF!)=0,#REF!,"Unknown")</f>
        <v>Rent</v>
      </c>
      <c r="D34" s="31">
        <v>33000</v>
      </c>
      <c r="E34" s="26" t="s">
        <v>287</v>
      </c>
      <c r="F34" s="17"/>
      <c r="G34" s="17"/>
      <c r="H34" s="17"/>
      <c r="I34" s="17"/>
      <c r="J34" s="17"/>
      <c r="K34" s="17"/>
      <c r="L34" s="17"/>
      <c r="M34" s="17"/>
      <c r="N34" s="17"/>
    </row>
    <row r="35" spans="1:14" x14ac:dyDescent="0.25">
      <c r="A35" s="27">
        <v>45740</v>
      </c>
      <c r="B35" s="28" t="s">
        <v>250</v>
      </c>
      <c r="C35" s="26" t="str">
        <f>IF(COUNTBLANK(#REF!)=0,#REF!,"Unknown")</f>
        <v>Healthcare</v>
      </c>
      <c r="D35" s="30">
        <v>4600</v>
      </c>
      <c r="E35" s="26" t="s">
        <v>1</v>
      </c>
      <c r="F35" s="17"/>
      <c r="G35" s="17"/>
      <c r="H35" s="17"/>
      <c r="I35" s="17"/>
      <c r="J35" s="17"/>
      <c r="K35" s="17"/>
      <c r="L35" s="17"/>
      <c r="M35" s="17"/>
      <c r="N35" s="17"/>
    </row>
    <row r="36" spans="1:14" x14ac:dyDescent="0.25">
      <c r="A36" s="29">
        <v>45741</v>
      </c>
      <c r="B36" s="26" t="s">
        <v>251</v>
      </c>
      <c r="C36" s="26" t="str">
        <f>IF(COUNTBLANK(#REF!)=0,#REF!,"Unknown")</f>
        <v>Travel</v>
      </c>
      <c r="D36" s="31">
        <v>10200</v>
      </c>
      <c r="E36" s="26" t="s">
        <v>23</v>
      </c>
      <c r="F36" s="17"/>
      <c r="G36" s="17"/>
      <c r="H36" s="17"/>
      <c r="I36" s="17"/>
      <c r="J36" s="17"/>
      <c r="K36" s="17"/>
      <c r="L36" s="17"/>
      <c r="M36" s="17"/>
      <c r="N36" s="17"/>
    </row>
    <row r="37" spans="1:14" x14ac:dyDescent="0.25">
      <c r="A37" s="27">
        <v>45742</v>
      </c>
      <c r="B37" s="28" t="s">
        <v>252</v>
      </c>
      <c r="C37" s="26" t="str">
        <f>IF(COUNTBLANK(#REF!)=0,#REF!,"Unknown")</f>
        <v>Entertainment</v>
      </c>
      <c r="D37" s="30">
        <v>4100</v>
      </c>
      <c r="E37" s="26" t="s">
        <v>0</v>
      </c>
      <c r="F37" s="17"/>
      <c r="G37" s="17"/>
      <c r="H37" s="17"/>
      <c r="I37" s="17"/>
      <c r="J37" s="17"/>
      <c r="K37" s="17"/>
      <c r="L37" s="17"/>
      <c r="M37" s="17"/>
      <c r="N37" s="17"/>
    </row>
    <row r="38" spans="1:14" x14ac:dyDescent="0.25">
      <c r="A38" s="29">
        <v>45743</v>
      </c>
      <c r="B38" s="26" t="s">
        <v>253</v>
      </c>
      <c r="C38" s="26" t="str">
        <f>IF(COUNTBLANK(#REF!)=0,#REF!,"Unknown")</f>
        <v>Investment</v>
      </c>
      <c r="D38" s="31">
        <v>37000</v>
      </c>
      <c r="E38" s="26" t="s">
        <v>46</v>
      </c>
      <c r="F38" s="17"/>
      <c r="G38" s="17"/>
      <c r="H38" s="17"/>
      <c r="I38" s="17"/>
      <c r="J38" s="17"/>
      <c r="K38" s="17"/>
      <c r="L38" s="17"/>
      <c r="M38" s="17"/>
      <c r="N38" s="17"/>
    </row>
    <row r="39" spans="1:14" x14ac:dyDescent="0.25">
      <c r="A39" s="27">
        <v>45744</v>
      </c>
      <c r="B39" s="28" t="s">
        <v>15</v>
      </c>
      <c r="C39" s="26" t="str">
        <f>IF(COUNTBLANK(#REF!)=0,#REF!,"Unknown")</f>
        <v>Groceries</v>
      </c>
      <c r="D39" s="30">
        <v>6200</v>
      </c>
      <c r="E39" s="26" t="s">
        <v>1</v>
      </c>
      <c r="F39" s="17"/>
      <c r="G39" s="17"/>
      <c r="H39" s="17"/>
      <c r="I39" s="17"/>
      <c r="J39" s="17"/>
      <c r="K39" s="17"/>
      <c r="L39" s="17"/>
      <c r="M39" s="17"/>
      <c r="N39" s="17"/>
    </row>
    <row r="40" spans="1:14" x14ac:dyDescent="0.25">
      <c r="A40" s="29">
        <v>45745</v>
      </c>
      <c r="B40" s="26" t="s">
        <v>105</v>
      </c>
      <c r="C40" s="26" t="str">
        <f>IF(COUNTBLANK(#REF!)=0,#REF!,"Unknown")</f>
        <v>Rent</v>
      </c>
      <c r="D40" s="31">
        <v>22000</v>
      </c>
      <c r="E40" s="26" t="s">
        <v>23</v>
      </c>
      <c r="F40" s="17"/>
      <c r="G40" s="17"/>
      <c r="H40" s="17"/>
      <c r="I40" s="17"/>
      <c r="J40" s="17"/>
      <c r="K40" s="17"/>
      <c r="L40" s="17"/>
      <c r="M40" s="17"/>
      <c r="N40" s="17"/>
    </row>
    <row r="41" spans="1:14" x14ac:dyDescent="0.25">
      <c r="A41" s="27">
        <v>45746</v>
      </c>
      <c r="B41" s="28" t="s">
        <v>163</v>
      </c>
      <c r="C41" s="26" t="str">
        <f>IF(COUNTBLANK(#REF!)=0,#REF!,"Unknown")</f>
        <v>Food</v>
      </c>
      <c r="D41" s="30">
        <v>3500</v>
      </c>
      <c r="E41" s="26" t="s">
        <v>0</v>
      </c>
      <c r="F41" s="17"/>
      <c r="G41" s="17"/>
      <c r="H41" s="17"/>
      <c r="I41" s="17"/>
      <c r="J41" s="17"/>
      <c r="K41" s="17"/>
      <c r="L41" s="17"/>
      <c r="M41" s="17"/>
      <c r="N41" s="17"/>
    </row>
    <row r="42" spans="1:14" x14ac:dyDescent="0.25">
      <c r="A42" s="29">
        <v>45747</v>
      </c>
      <c r="B42" s="26" t="s">
        <v>222</v>
      </c>
      <c r="C42" s="26" t="str">
        <f>IF(COUNTBLANK(#REF!)=0,#REF!,"Unknown")</f>
        <v>Healthcare</v>
      </c>
      <c r="D42" s="31">
        <v>9100</v>
      </c>
      <c r="E42" s="26" t="s">
        <v>33</v>
      </c>
      <c r="F42" s="17"/>
      <c r="G42" s="17"/>
      <c r="H42" s="17"/>
      <c r="I42" s="17"/>
      <c r="J42" s="17"/>
      <c r="K42" s="17"/>
      <c r="L42" s="17"/>
      <c r="M42" s="17"/>
      <c r="N42" s="17"/>
    </row>
    <row r="43" spans="1:14" x14ac:dyDescent="0.25">
      <c r="A43" s="27">
        <v>45748</v>
      </c>
      <c r="B43" s="28" t="s">
        <v>246</v>
      </c>
      <c r="C43" s="26" t="str">
        <f>IF(COUNTBLANK(#REF!)=0,#REF!,"Unknown")</f>
        <v>Shopping</v>
      </c>
      <c r="D43" s="30">
        <v>7900</v>
      </c>
      <c r="E43" s="26" t="s">
        <v>287</v>
      </c>
      <c r="F43" s="17"/>
      <c r="G43" s="17"/>
      <c r="H43" s="17"/>
      <c r="I43" s="17"/>
      <c r="J43" s="17"/>
      <c r="K43" s="17"/>
      <c r="L43" s="17"/>
      <c r="M43" s="17"/>
      <c r="N43" s="17"/>
    </row>
    <row r="44" spans="1:14" x14ac:dyDescent="0.25">
      <c r="A44" s="29">
        <v>45749</v>
      </c>
      <c r="B44" s="26" t="s">
        <v>247</v>
      </c>
      <c r="C44" s="26" t="str">
        <f>IF(COUNTBLANK(#REF!)=0,#REF!,"Unknown")</f>
        <v>Unknown</v>
      </c>
      <c r="D44" s="31">
        <v>9700</v>
      </c>
      <c r="E44" s="26" t="s">
        <v>23</v>
      </c>
      <c r="F44" s="17"/>
      <c r="G44" s="17"/>
      <c r="H44" s="17"/>
      <c r="I44" s="17"/>
      <c r="J44" s="17"/>
      <c r="K44" s="17"/>
      <c r="L44" s="17"/>
      <c r="M44" s="17"/>
      <c r="N44" s="17"/>
    </row>
    <row r="45" spans="1:14" x14ac:dyDescent="0.25">
      <c r="A45" s="27">
        <v>45750</v>
      </c>
      <c r="B45" s="28" t="s">
        <v>248</v>
      </c>
      <c r="C45" s="26" t="str">
        <f>IF(COUNTBLANK(#REF!)=0,#REF!,"Unknown")</f>
        <v>Entertainment</v>
      </c>
      <c r="D45" s="30">
        <v>4500</v>
      </c>
      <c r="E45" s="26" t="s">
        <v>1</v>
      </c>
      <c r="F45" s="17"/>
      <c r="G45" s="17"/>
      <c r="H45" s="17"/>
      <c r="I45" s="17"/>
      <c r="J45" s="17"/>
      <c r="K45" s="17"/>
      <c r="L45" s="17"/>
      <c r="M45" s="17"/>
      <c r="N45" s="17"/>
    </row>
    <row r="46" spans="1:14" x14ac:dyDescent="0.25">
      <c r="A46" s="29">
        <v>45751</v>
      </c>
      <c r="B46" s="26" t="s">
        <v>249</v>
      </c>
      <c r="C46" s="26" t="str">
        <f>IF(COUNTBLANK(#REF!)=0,#REF!,"Unknown")</f>
        <v>Investment</v>
      </c>
      <c r="D46" s="31">
        <v>35000</v>
      </c>
      <c r="E46" s="26" t="s">
        <v>46</v>
      </c>
      <c r="F46" s="17"/>
      <c r="G46" s="17"/>
      <c r="H46" s="17"/>
      <c r="I46" s="17"/>
      <c r="J46" s="17"/>
      <c r="K46" s="17"/>
      <c r="L46" s="17"/>
      <c r="M46" s="17"/>
      <c r="N46" s="17"/>
    </row>
    <row r="47" spans="1:14" x14ac:dyDescent="0.25">
      <c r="A47" s="27">
        <v>45752</v>
      </c>
      <c r="B47" s="28" t="s">
        <v>250</v>
      </c>
      <c r="C47" s="26" t="str">
        <f>IF(COUNTBLANK(#REF!)=0,#REF!,"Unknown")</f>
        <v>Utilities</v>
      </c>
      <c r="D47" s="30">
        <v>6100</v>
      </c>
      <c r="E47" s="26" t="s">
        <v>23</v>
      </c>
      <c r="F47" s="17"/>
      <c r="G47" s="17"/>
      <c r="H47" s="17"/>
      <c r="I47" s="17"/>
      <c r="J47" s="17"/>
      <c r="K47" s="17"/>
      <c r="L47" s="17"/>
      <c r="M47" s="17"/>
      <c r="N47" s="17"/>
    </row>
    <row r="48" spans="1:14" x14ac:dyDescent="0.25">
      <c r="A48" s="29">
        <v>45753</v>
      </c>
      <c r="B48" s="26" t="s">
        <v>251</v>
      </c>
      <c r="C48" s="26" t="str">
        <f>IF(COUNTBLANK(#REF!)=0,#REF!,"Unknown")</f>
        <v>Rent</v>
      </c>
      <c r="D48" s="31">
        <v>19500</v>
      </c>
      <c r="E48" s="26" t="s">
        <v>1</v>
      </c>
      <c r="F48" s="17"/>
      <c r="G48" s="17"/>
      <c r="H48" s="17"/>
      <c r="I48" s="17"/>
      <c r="J48" s="17"/>
      <c r="K48" s="17"/>
      <c r="L48" s="17"/>
      <c r="M48" s="17"/>
      <c r="N48" s="17"/>
    </row>
    <row r="49" spans="1:14" x14ac:dyDescent="0.25">
      <c r="A49" s="27">
        <v>45754</v>
      </c>
      <c r="B49" s="28" t="s">
        <v>252</v>
      </c>
      <c r="C49" s="26" t="str">
        <f>IF(COUNTBLANK(#REF!)=0,#REF!,"Unknown")</f>
        <v>Education</v>
      </c>
      <c r="D49" s="30">
        <v>3900</v>
      </c>
      <c r="E49" s="26" t="s">
        <v>0</v>
      </c>
      <c r="F49" s="17"/>
      <c r="G49" s="17"/>
      <c r="H49" s="17"/>
      <c r="I49" s="17"/>
      <c r="J49" s="17"/>
      <c r="K49" s="17"/>
      <c r="L49" s="17"/>
      <c r="M49" s="17"/>
      <c r="N49" s="17"/>
    </row>
    <row r="50" spans="1:14" x14ac:dyDescent="0.25">
      <c r="A50" s="29">
        <v>45755</v>
      </c>
      <c r="B50" s="26" t="s">
        <v>253</v>
      </c>
      <c r="C50" s="26" t="str">
        <f>IF(COUNTBLANK(#REF!)=0,#REF!,"Unknown")</f>
        <v>Healthcare</v>
      </c>
      <c r="D50" s="31">
        <v>8300</v>
      </c>
      <c r="E50" s="26" t="s">
        <v>33</v>
      </c>
      <c r="F50" s="17"/>
      <c r="G50" s="17"/>
      <c r="H50" s="17"/>
      <c r="I50" s="17"/>
      <c r="J50" s="17"/>
      <c r="K50" s="17"/>
      <c r="L50" s="17"/>
      <c r="M50" s="17"/>
      <c r="N50" s="17"/>
    </row>
    <row r="51" spans="1:14" x14ac:dyDescent="0.25">
      <c r="A51" s="27">
        <v>45756</v>
      </c>
      <c r="B51" s="28" t="s">
        <v>15</v>
      </c>
      <c r="C51" s="26" t="str">
        <f>IF(COUNTBLANK(#REF!)=0,#REF!,"Unknown")</f>
        <v>Shopping</v>
      </c>
      <c r="D51" s="30">
        <v>7400</v>
      </c>
      <c r="E51" s="26" t="s">
        <v>1</v>
      </c>
      <c r="F51" s="17"/>
      <c r="G51" s="17"/>
      <c r="H51" s="17"/>
      <c r="I51" s="17"/>
      <c r="J51" s="17"/>
      <c r="K51" s="17"/>
      <c r="L51" s="17"/>
      <c r="M51" s="17"/>
      <c r="N51" s="17"/>
    </row>
    <row r="52" spans="1:14" x14ac:dyDescent="0.25">
      <c r="A52" s="29">
        <v>45757</v>
      </c>
      <c r="B52" s="26" t="s">
        <v>105</v>
      </c>
      <c r="C52" s="26" t="str">
        <f>IF(COUNTBLANK(#REF!)=0,#REF!,"Unknown")</f>
        <v>Travel</v>
      </c>
      <c r="D52" s="31">
        <v>10100</v>
      </c>
      <c r="E52" s="26" t="s">
        <v>23</v>
      </c>
      <c r="F52" s="17"/>
      <c r="G52" s="17"/>
      <c r="H52" s="17"/>
      <c r="I52" s="17"/>
      <c r="J52" s="17"/>
      <c r="K52" s="17"/>
      <c r="L52" s="17"/>
      <c r="M52" s="17"/>
      <c r="N52" s="17"/>
    </row>
    <row r="53" spans="1:14" x14ac:dyDescent="0.25">
      <c r="A53" s="27">
        <v>45758</v>
      </c>
      <c r="B53" s="28" t="s">
        <v>163</v>
      </c>
      <c r="C53" s="26" t="str">
        <f>IF(COUNTBLANK(#REF!)=0,#REF!,"Unknown")</f>
        <v>Food</v>
      </c>
      <c r="D53" s="30">
        <v>5100</v>
      </c>
      <c r="E53" s="26" t="s">
        <v>1</v>
      </c>
      <c r="F53" s="17"/>
      <c r="G53" s="17"/>
      <c r="H53" s="17"/>
      <c r="I53" s="17"/>
      <c r="J53" s="17"/>
      <c r="K53" s="17"/>
      <c r="L53" s="17"/>
      <c r="M53" s="17"/>
      <c r="N53" s="17"/>
    </row>
    <row r="54" spans="1:14" x14ac:dyDescent="0.25">
      <c r="A54" s="29">
        <v>45684</v>
      </c>
      <c r="B54" s="26" t="s">
        <v>222</v>
      </c>
      <c r="C54" s="26" t="str">
        <f>IF(COUNTBLANK(#REF!)=0,#REF!,"Unknown")</f>
        <v>Healthcare</v>
      </c>
      <c r="D54" s="31">
        <v>3400</v>
      </c>
      <c r="E54" s="26" t="s">
        <v>1</v>
      </c>
      <c r="F54" s="17"/>
      <c r="G54" s="17"/>
      <c r="H54" s="17"/>
      <c r="I54" s="17"/>
      <c r="J54" s="17"/>
      <c r="K54" s="17"/>
      <c r="L54" s="17"/>
      <c r="M54" s="17"/>
      <c r="N54" s="17"/>
    </row>
    <row r="55" spans="1:14" x14ac:dyDescent="0.25">
      <c r="A55" s="27">
        <v>45685</v>
      </c>
      <c r="B55" s="28" t="s">
        <v>246</v>
      </c>
      <c r="C55" s="26" t="str">
        <f>IF(COUNTBLANK(#REF!)=0,#REF!,"Unknown")</f>
        <v>Unknown</v>
      </c>
      <c r="D55" s="30">
        <v>4700</v>
      </c>
      <c r="E55" s="26" t="s">
        <v>0</v>
      </c>
      <c r="F55" s="17"/>
      <c r="G55" s="17"/>
      <c r="H55" s="17"/>
      <c r="I55" s="17"/>
      <c r="J55" s="17"/>
      <c r="K55" s="17"/>
      <c r="L55" s="17"/>
      <c r="M55" s="17"/>
      <c r="N55" s="17"/>
    </row>
    <row r="56" spans="1:14" x14ac:dyDescent="0.25">
      <c r="A56" s="29">
        <v>45686</v>
      </c>
      <c r="B56" s="26" t="s">
        <v>247</v>
      </c>
      <c r="C56" s="26" t="str">
        <f>IF(COUNTBLANK(#REF!)=0,#REF!,"Unknown")</f>
        <v>Rent</v>
      </c>
      <c r="D56" s="31">
        <v>28000</v>
      </c>
      <c r="E56" s="26" t="s">
        <v>287</v>
      </c>
      <c r="F56" s="17"/>
      <c r="G56" s="17"/>
      <c r="H56" s="17"/>
      <c r="I56" s="17"/>
      <c r="J56" s="17"/>
      <c r="K56" s="17"/>
      <c r="L56" s="17"/>
      <c r="M56" s="17"/>
      <c r="N56" s="17"/>
    </row>
    <row r="57" spans="1:14" x14ac:dyDescent="0.25">
      <c r="A57" s="27">
        <v>45687</v>
      </c>
      <c r="B57" s="28" t="s">
        <v>248</v>
      </c>
      <c r="C57" s="26" t="str">
        <f>IF(COUNTBLANK(#REF!)=0,#REF!,"Unknown")</f>
        <v>Utilities</v>
      </c>
      <c r="D57" s="30">
        <v>7200</v>
      </c>
      <c r="E57" s="26" t="s">
        <v>33</v>
      </c>
      <c r="F57" s="17"/>
      <c r="G57" s="17"/>
      <c r="H57" s="17"/>
      <c r="I57" s="17"/>
      <c r="J57" s="17"/>
      <c r="K57" s="17"/>
      <c r="L57" s="17"/>
      <c r="M57" s="17"/>
      <c r="N57" s="17"/>
    </row>
    <row r="58" spans="1:14" x14ac:dyDescent="0.25">
      <c r="A58" s="29">
        <v>45688</v>
      </c>
      <c r="B58" s="26" t="s">
        <v>249</v>
      </c>
      <c r="C58" s="26" t="str">
        <f>IF(COUNTBLANK(#REF!)=0,#REF!,"Unknown")</f>
        <v>Education</v>
      </c>
      <c r="D58" s="31">
        <v>3800</v>
      </c>
      <c r="E58" s="26" t="s">
        <v>1</v>
      </c>
      <c r="F58" s="17"/>
      <c r="G58" s="17"/>
      <c r="H58" s="17"/>
      <c r="I58" s="17"/>
      <c r="J58" s="17"/>
      <c r="K58" s="17"/>
      <c r="L58" s="17"/>
      <c r="M58" s="17"/>
      <c r="N58" s="17"/>
    </row>
    <row r="59" spans="1:14" x14ac:dyDescent="0.25">
      <c r="A59" s="27">
        <v>45689</v>
      </c>
      <c r="B59" s="28" t="s">
        <v>250</v>
      </c>
      <c r="C59" s="26" t="str">
        <f>IF(COUNTBLANK(#REF!)=0,#REF!,"Unknown")</f>
        <v>Travel</v>
      </c>
      <c r="D59" s="30">
        <v>9100</v>
      </c>
      <c r="E59" s="26" t="s">
        <v>23</v>
      </c>
      <c r="F59" s="17"/>
      <c r="G59" s="17"/>
      <c r="H59" s="17"/>
      <c r="I59" s="17"/>
      <c r="J59" s="17"/>
      <c r="K59" s="17"/>
      <c r="L59" s="17"/>
      <c r="M59" s="17"/>
      <c r="N59" s="17"/>
    </row>
    <row r="60" spans="1:14" x14ac:dyDescent="0.25">
      <c r="A60" s="29">
        <v>45690</v>
      </c>
      <c r="B60" s="26" t="s">
        <v>251</v>
      </c>
      <c r="C60" s="26" t="str">
        <f>IF(COUNTBLANK(#REF!)=0,#REF!,"Unknown")</f>
        <v>Shopping</v>
      </c>
      <c r="D60" s="31">
        <v>6900</v>
      </c>
      <c r="E60" s="26" t="s">
        <v>1</v>
      </c>
      <c r="F60" s="17"/>
      <c r="G60" s="17"/>
      <c r="H60" s="17"/>
      <c r="I60" s="17"/>
      <c r="J60" s="17"/>
      <c r="K60" s="17"/>
      <c r="L60" s="17"/>
      <c r="M60" s="17"/>
      <c r="N60" s="17"/>
    </row>
    <row r="61" spans="1:14" x14ac:dyDescent="0.25">
      <c r="A61" s="27">
        <v>45691</v>
      </c>
      <c r="B61" s="28" t="s">
        <v>252</v>
      </c>
      <c r="C61" s="26" t="str">
        <f>IF(COUNTBLANK(#REF!)=0,#REF!,"Unknown")</f>
        <v>Investment</v>
      </c>
      <c r="D61" s="30">
        <v>32000</v>
      </c>
      <c r="E61" s="26" t="s">
        <v>33</v>
      </c>
      <c r="F61" s="17"/>
      <c r="G61" s="17"/>
      <c r="H61" s="17"/>
      <c r="I61" s="17"/>
      <c r="J61" s="17"/>
      <c r="K61" s="17"/>
      <c r="L61" s="17"/>
      <c r="M61" s="17"/>
      <c r="N61" s="17"/>
    </row>
    <row r="62" spans="1:14" x14ac:dyDescent="0.25">
      <c r="A62" s="29">
        <v>45692</v>
      </c>
      <c r="B62" s="26" t="s">
        <v>253</v>
      </c>
      <c r="C62" s="26" t="str">
        <f>IF(COUNTBLANK(#REF!)=0,#REF!,"Unknown")</f>
        <v>Groceries</v>
      </c>
      <c r="D62" s="31">
        <v>6400</v>
      </c>
      <c r="E62" s="26" t="s">
        <v>23</v>
      </c>
      <c r="F62" s="17"/>
      <c r="G62" s="17"/>
      <c r="H62" s="17"/>
      <c r="I62" s="17"/>
      <c r="J62" s="17"/>
      <c r="K62" s="17"/>
      <c r="L62" s="17"/>
      <c r="M62" s="17"/>
      <c r="N62" s="17"/>
    </row>
    <row r="63" spans="1:14" x14ac:dyDescent="0.25">
      <c r="A63" s="27">
        <v>45693</v>
      </c>
      <c r="B63" s="28" t="s">
        <v>15</v>
      </c>
      <c r="C63" s="26" t="str">
        <f>IF(COUNTBLANK(#REF!)=0,#REF!,"Unknown")</f>
        <v>Rent</v>
      </c>
      <c r="D63" s="30">
        <v>19000</v>
      </c>
      <c r="E63" s="26" t="s">
        <v>1</v>
      </c>
      <c r="F63" s="17"/>
      <c r="G63" s="17"/>
      <c r="H63" s="17"/>
      <c r="I63" s="17"/>
      <c r="J63" s="17"/>
      <c r="K63" s="17"/>
      <c r="L63" s="17"/>
      <c r="M63" s="17"/>
      <c r="N63" s="17"/>
    </row>
    <row r="64" spans="1:14" x14ac:dyDescent="0.25">
      <c r="A64" s="29">
        <v>45694</v>
      </c>
      <c r="B64" s="26" t="s">
        <v>105</v>
      </c>
      <c r="C64" s="26" t="str">
        <f>IF(COUNTBLANK(#REF!)=0,#REF!,"Unknown")</f>
        <v>Transport</v>
      </c>
      <c r="D64" s="31">
        <v>4300</v>
      </c>
      <c r="E64" s="26" t="s">
        <v>0</v>
      </c>
      <c r="F64" s="17"/>
      <c r="G64" s="17"/>
      <c r="H64" s="17"/>
      <c r="I64" s="17"/>
      <c r="J64" s="17"/>
      <c r="K64" s="17"/>
      <c r="L64" s="17"/>
      <c r="M64" s="17"/>
      <c r="N64" s="17"/>
    </row>
    <row r="65" spans="1:14" x14ac:dyDescent="0.25">
      <c r="A65" s="27">
        <v>45695</v>
      </c>
      <c r="B65" s="28" t="s">
        <v>163</v>
      </c>
      <c r="C65" s="26" t="str">
        <f>IF(COUNTBLANK(#REF!)=0,#REF!,"Unknown")</f>
        <v>Entertainment</v>
      </c>
      <c r="D65" s="30">
        <v>3600</v>
      </c>
      <c r="E65" s="26" t="s">
        <v>1</v>
      </c>
      <c r="F65" s="17"/>
      <c r="G65" s="17"/>
      <c r="H65" s="17"/>
      <c r="I65" s="17"/>
      <c r="J65" s="17"/>
      <c r="K65" s="17"/>
      <c r="L65" s="17"/>
      <c r="M65" s="17"/>
      <c r="N65" s="17"/>
    </row>
    <row r="66" spans="1:14" x14ac:dyDescent="0.25">
      <c r="A66" s="29">
        <v>45696</v>
      </c>
      <c r="B66" s="26" t="s">
        <v>222</v>
      </c>
      <c r="C66" s="26" t="str">
        <f>IF(COUNTBLANK(#REF!)=0,#REF!,"Unknown")</f>
        <v>Healthcare</v>
      </c>
      <c r="D66" s="31">
        <v>7600</v>
      </c>
      <c r="E66" s="26" t="s">
        <v>46</v>
      </c>
      <c r="F66" s="17"/>
      <c r="G66" s="17"/>
      <c r="H66" s="17"/>
      <c r="I66" s="17"/>
      <c r="J66" s="17"/>
      <c r="K66" s="17"/>
      <c r="L66" s="17"/>
      <c r="M66" s="17"/>
      <c r="N66" s="17"/>
    </row>
    <row r="67" spans="1:14" x14ac:dyDescent="0.25">
      <c r="A67" s="27">
        <v>45697</v>
      </c>
      <c r="B67" s="28" t="s">
        <v>246</v>
      </c>
      <c r="C67" s="26" t="str">
        <f>IF(COUNTBLANK(#REF!)=0,#REF!,"Unknown")</f>
        <v>Unknown</v>
      </c>
      <c r="D67" s="30">
        <v>6100</v>
      </c>
      <c r="E67" s="26" t="s">
        <v>23</v>
      </c>
      <c r="F67" s="17"/>
      <c r="G67" s="17"/>
      <c r="H67" s="17"/>
      <c r="I67" s="17"/>
      <c r="J67" s="17"/>
      <c r="K67" s="17"/>
      <c r="L67" s="17"/>
      <c r="M67" s="17"/>
      <c r="N67" s="17"/>
    </row>
    <row r="68" spans="1:14" x14ac:dyDescent="0.25">
      <c r="A68" s="29"/>
      <c r="B68" s="26" t="s">
        <v>247</v>
      </c>
      <c r="C68" s="26" t="str">
        <f>IF(COUNTBLANK(#REF!)=0,#REF!,"Unknown")</f>
        <v>Rent</v>
      </c>
      <c r="D68" s="31">
        <v>18000</v>
      </c>
      <c r="E68" s="26" t="s">
        <v>1</v>
      </c>
      <c r="F68" s="17"/>
      <c r="G68" s="17"/>
      <c r="H68" s="17"/>
      <c r="I68" s="17"/>
      <c r="J68" s="17"/>
      <c r="K68" s="17"/>
      <c r="L68" s="17"/>
      <c r="M68" s="17"/>
      <c r="N68" s="17"/>
    </row>
    <row r="69" spans="1:14" x14ac:dyDescent="0.25">
      <c r="A69" s="27">
        <v>45699</v>
      </c>
      <c r="B69" s="28" t="s">
        <v>248</v>
      </c>
      <c r="C69" s="26" t="str">
        <f>IF(COUNTBLANK(#REF!)=0,#REF!,"Unknown")</f>
        <v>Shopping</v>
      </c>
      <c r="D69" s="30">
        <v>7900</v>
      </c>
      <c r="E69" s="26" t="s">
        <v>1</v>
      </c>
      <c r="F69" s="17"/>
      <c r="G69" s="17"/>
      <c r="H69" s="17"/>
      <c r="I69" s="17"/>
      <c r="J69" s="17"/>
      <c r="K69" s="17"/>
      <c r="L69" s="17"/>
      <c r="M69" s="17"/>
      <c r="N69" s="17"/>
    </row>
    <row r="70" spans="1:14" x14ac:dyDescent="0.25">
      <c r="A70" s="29">
        <v>45700</v>
      </c>
      <c r="B70" s="26" t="s">
        <v>249</v>
      </c>
      <c r="C70" s="26" t="str">
        <f>IF(COUNTBLANK(#REF!)=0,#REF!,"Unknown")</f>
        <v>Travel</v>
      </c>
      <c r="D70" s="31">
        <v>10400</v>
      </c>
      <c r="E70" s="26" t="s">
        <v>23</v>
      </c>
      <c r="F70" s="17"/>
      <c r="G70" s="17"/>
      <c r="H70" s="17"/>
      <c r="I70" s="17"/>
      <c r="J70" s="17"/>
      <c r="K70" s="17"/>
      <c r="L70" s="17"/>
      <c r="M70" s="17"/>
      <c r="N70" s="17"/>
    </row>
    <row r="71" spans="1:14" x14ac:dyDescent="0.25">
      <c r="A71" s="27">
        <v>45701</v>
      </c>
      <c r="B71" s="28" t="s">
        <v>250</v>
      </c>
      <c r="C71" s="26" t="str">
        <f>IF(COUNTBLANK(#REF!)=0,#REF!,"Unknown")</f>
        <v>Investment</v>
      </c>
      <c r="D71" s="30">
        <v>36000</v>
      </c>
      <c r="E71" s="26" t="s">
        <v>33</v>
      </c>
      <c r="F71" s="17"/>
      <c r="G71" s="17"/>
      <c r="H71" s="17"/>
      <c r="I71" s="17"/>
      <c r="J71" s="17"/>
      <c r="K71" s="17"/>
      <c r="L71" s="17"/>
      <c r="M71" s="17"/>
      <c r="N71" s="17"/>
    </row>
    <row r="72" spans="1:14" x14ac:dyDescent="0.25">
      <c r="A72" s="29">
        <v>45702</v>
      </c>
      <c r="B72" s="26" t="s">
        <v>251</v>
      </c>
      <c r="C72" s="26" t="str">
        <f>IF(COUNTBLANK(#REF!)=0,#REF!,"Unknown")</f>
        <v>Utilities</v>
      </c>
      <c r="D72" s="31">
        <v>5900</v>
      </c>
      <c r="E72" s="26" t="s">
        <v>0</v>
      </c>
      <c r="F72" s="17"/>
      <c r="G72" s="17"/>
      <c r="H72" s="17"/>
      <c r="I72" s="17"/>
      <c r="J72" s="17"/>
      <c r="K72" s="17"/>
      <c r="L72" s="17"/>
      <c r="M72" s="17"/>
      <c r="N72" s="17"/>
    </row>
    <row r="73" spans="1:14" x14ac:dyDescent="0.25">
      <c r="A73" s="27">
        <v>45703</v>
      </c>
      <c r="B73" s="28" t="s">
        <v>252</v>
      </c>
      <c r="C73" s="26" t="str">
        <f>IF(COUNTBLANK(#REF!)=0,#REF!,"Unknown")</f>
        <v>Healthcare</v>
      </c>
      <c r="D73" s="30">
        <v>4100</v>
      </c>
      <c r="E73" s="26" t="s">
        <v>1</v>
      </c>
      <c r="F73" s="17"/>
      <c r="G73" s="17"/>
      <c r="H73" s="17"/>
      <c r="I73" s="17"/>
      <c r="J73" s="17"/>
      <c r="K73" s="17"/>
      <c r="L73" s="17"/>
      <c r="M73" s="17"/>
      <c r="N73" s="17"/>
    </row>
    <row r="74" spans="1:14" x14ac:dyDescent="0.25">
      <c r="A74" s="29">
        <v>45704</v>
      </c>
      <c r="B74" s="26" t="s">
        <v>253</v>
      </c>
      <c r="C74" s="26" t="str">
        <f>IF(COUNTBLANK(#REF!)=0,#REF!,"Unknown")</f>
        <v>Food</v>
      </c>
      <c r="D74" s="31">
        <v>5600</v>
      </c>
      <c r="E74" s="26" t="s">
        <v>23</v>
      </c>
      <c r="F74" s="17"/>
      <c r="G74" s="17"/>
      <c r="H74" s="17"/>
      <c r="I74" s="17"/>
      <c r="J74" s="17"/>
      <c r="K74" s="17"/>
      <c r="L74" s="17"/>
      <c r="M74" s="17"/>
      <c r="N74" s="17"/>
    </row>
    <row r="75" spans="1:14" x14ac:dyDescent="0.25">
      <c r="A75" s="27">
        <v>45705</v>
      </c>
      <c r="B75" s="28" t="s">
        <v>15</v>
      </c>
      <c r="C75" s="26" t="str">
        <f>IF(COUNTBLANK(#REF!)=0,#REF!,"Unknown")</f>
        <v>Education</v>
      </c>
      <c r="D75" s="30">
        <v>6200</v>
      </c>
      <c r="E75" s="26" t="s">
        <v>1</v>
      </c>
      <c r="F75" s="17"/>
      <c r="G75" s="17"/>
      <c r="H75" s="17"/>
      <c r="I75" s="17"/>
      <c r="J75" s="17"/>
      <c r="K75" s="17"/>
      <c r="L75" s="17"/>
      <c r="M75" s="17"/>
      <c r="N75" s="17"/>
    </row>
    <row r="76" spans="1:14" x14ac:dyDescent="0.25">
      <c r="A76" s="29">
        <v>45706</v>
      </c>
      <c r="B76" s="26" t="s">
        <v>105</v>
      </c>
      <c r="C76" s="26" t="str">
        <f>IF(COUNTBLANK(#REF!)=0,#REF!,"Unknown")</f>
        <v>Rent</v>
      </c>
      <c r="D76" s="31">
        <v>34000</v>
      </c>
      <c r="E76" s="26" t="s">
        <v>287</v>
      </c>
      <c r="F76" s="17"/>
      <c r="G76" s="17"/>
      <c r="H76" s="17"/>
      <c r="I76" s="17"/>
      <c r="J76" s="17"/>
      <c r="K76" s="17"/>
      <c r="L76" s="17"/>
      <c r="M76" s="17"/>
      <c r="N76" s="17"/>
    </row>
    <row r="77" spans="1:14" x14ac:dyDescent="0.25">
      <c r="A77" s="27">
        <v>45707</v>
      </c>
      <c r="B77" s="28" t="s">
        <v>163</v>
      </c>
      <c r="C77" s="26" t="str">
        <f>IF(COUNTBLANK(#REF!)=0,#REF!,"Unknown")</f>
        <v>Entertainment</v>
      </c>
      <c r="D77" s="30">
        <v>5300</v>
      </c>
      <c r="E77" s="26" t="s">
        <v>23</v>
      </c>
      <c r="F77" s="17"/>
      <c r="G77" s="17"/>
      <c r="H77" s="17"/>
      <c r="I77" s="17"/>
      <c r="J77" s="17"/>
      <c r="K77" s="17"/>
      <c r="L77" s="17"/>
      <c r="M77" s="17"/>
      <c r="N77" s="17"/>
    </row>
    <row r="78" spans="1:14" x14ac:dyDescent="0.25">
      <c r="A78" s="29">
        <v>45708</v>
      </c>
      <c r="B78" s="26" t="s">
        <v>222</v>
      </c>
      <c r="C78" s="26" t="str">
        <f>IF(COUNTBLANK(#REF!)=0,#REF!,"Unknown")</f>
        <v>Transport</v>
      </c>
      <c r="D78" s="31">
        <v>4800</v>
      </c>
      <c r="E78" s="26" t="s">
        <v>0</v>
      </c>
      <c r="F78" s="17"/>
      <c r="G78" s="17"/>
      <c r="H78" s="17"/>
      <c r="I78" s="17"/>
      <c r="J78" s="17"/>
      <c r="K78" s="17"/>
      <c r="L78" s="17"/>
      <c r="M78" s="17"/>
      <c r="N78" s="17"/>
    </row>
    <row r="79" spans="1:14" x14ac:dyDescent="0.25">
      <c r="A79" s="27">
        <v>45709</v>
      </c>
      <c r="B79" s="28" t="s">
        <v>246</v>
      </c>
      <c r="C79" s="26" t="str">
        <f>IF(COUNTBLANK(#REF!)=0,#REF!,"Unknown")</f>
        <v>Shopping</v>
      </c>
      <c r="D79" s="30">
        <v>8300</v>
      </c>
      <c r="E79" s="26" t="s">
        <v>1</v>
      </c>
      <c r="F79" s="17"/>
      <c r="G79" s="17"/>
      <c r="H79" s="17"/>
      <c r="I79" s="17"/>
      <c r="J79" s="17"/>
      <c r="K79" s="17"/>
      <c r="L79" s="17"/>
      <c r="M79" s="17"/>
      <c r="N79" s="17"/>
    </row>
    <row r="80" spans="1:14" x14ac:dyDescent="0.25">
      <c r="A80" s="29">
        <v>45710</v>
      </c>
      <c r="B80" s="26" t="s">
        <v>247</v>
      </c>
      <c r="C80" s="26" t="str">
        <f>IF(COUNTBLANK(#REF!)=0,#REF!,"Unknown")</f>
        <v>Investment</v>
      </c>
      <c r="D80" s="31">
        <v>31000</v>
      </c>
      <c r="E80" s="26" t="s">
        <v>33</v>
      </c>
      <c r="F80" s="17"/>
      <c r="G80" s="17"/>
      <c r="H80" s="17"/>
      <c r="I80" s="17"/>
      <c r="J80" s="17"/>
      <c r="K80" s="17"/>
      <c r="L80" s="17"/>
      <c r="M80" s="17"/>
      <c r="N80" s="17"/>
    </row>
    <row r="81" spans="1:14" x14ac:dyDescent="0.25">
      <c r="A81" s="27">
        <v>45711</v>
      </c>
      <c r="B81" s="28" t="s">
        <v>248</v>
      </c>
      <c r="C81" s="26" t="str">
        <f>IF(COUNTBLANK(#REF!)=0,#REF!,"Unknown")</f>
        <v>Groceries</v>
      </c>
      <c r="D81" s="30">
        <v>6800</v>
      </c>
      <c r="E81" s="26" t="s">
        <v>23</v>
      </c>
      <c r="F81" s="17"/>
      <c r="G81" s="17"/>
      <c r="H81" s="17"/>
      <c r="I81" s="17"/>
      <c r="J81" s="17"/>
      <c r="K81" s="17"/>
      <c r="L81" s="17"/>
      <c r="M81" s="17"/>
      <c r="N81" s="17"/>
    </row>
    <row r="82" spans="1:14" x14ac:dyDescent="0.25">
      <c r="A82" s="29">
        <v>45712</v>
      </c>
      <c r="B82" s="26" t="s">
        <v>249</v>
      </c>
      <c r="C82" s="26" t="str">
        <f>IF(COUNTBLANK(#REF!)=0,#REF!,"Unknown")</f>
        <v>Rent</v>
      </c>
      <c r="D82" s="31">
        <v>17500</v>
      </c>
      <c r="E82" s="26" t="s">
        <v>1</v>
      </c>
      <c r="F82" s="17"/>
      <c r="G82" s="17"/>
      <c r="H82" s="17"/>
      <c r="I82" s="17"/>
      <c r="J82" s="17"/>
      <c r="K82" s="17"/>
      <c r="L82" s="17"/>
      <c r="M82" s="17"/>
      <c r="N82" s="17"/>
    </row>
    <row r="83" spans="1:14" x14ac:dyDescent="0.25">
      <c r="A83" s="27">
        <v>45713</v>
      </c>
      <c r="B83" s="28" t="s">
        <v>250</v>
      </c>
      <c r="C83" s="26" t="str">
        <f>IF(COUNTBLANK(#REF!)=0,#REF!,"Unknown")</f>
        <v>Healthcare</v>
      </c>
      <c r="D83" s="30">
        <v>5200</v>
      </c>
      <c r="E83" s="26" t="s">
        <v>33</v>
      </c>
      <c r="F83" s="17"/>
      <c r="G83" s="17"/>
      <c r="H83" s="17"/>
      <c r="I83" s="17"/>
      <c r="J83" s="17"/>
      <c r="K83" s="17"/>
      <c r="L83" s="17"/>
      <c r="M83" s="17"/>
      <c r="N83" s="17"/>
    </row>
    <row r="84" spans="1:14" x14ac:dyDescent="0.25">
      <c r="A84" s="29">
        <v>45714</v>
      </c>
      <c r="B84" s="26" t="s">
        <v>251</v>
      </c>
      <c r="C84" s="26" t="str">
        <f>IF(COUNTBLANK(#REF!)=0,#REF!,"Unknown")</f>
        <v>Food</v>
      </c>
      <c r="D84" s="31">
        <v>3900</v>
      </c>
      <c r="E84" s="26" t="s">
        <v>0</v>
      </c>
      <c r="F84" s="17"/>
      <c r="G84" s="17"/>
      <c r="H84" s="17"/>
      <c r="I84" s="17"/>
      <c r="J84" s="17"/>
      <c r="K84" s="17"/>
      <c r="L84" s="17"/>
      <c r="M84" s="17"/>
      <c r="N84" s="17"/>
    </row>
    <row r="85" spans="1:14" x14ac:dyDescent="0.25">
      <c r="A85" s="27">
        <v>45715</v>
      </c>
      <c r="B85" s="28" t="s">
        <v>252</v>
      </c>
      <c r="C85" s="26" t="str">
        <f>IF(COUNTBLANK(#REF!)=0,#REF!,"Unknown")</f>
        <v>Travel</v>
      </c>
      <c r="D85" s="30">
        <v>11200</v>
      </c>
      <c r="E85" s="26" t="s">
        <v>23</v>
      </c>
      <c r="F85" s="17"/>
      <c r="G85" s="17"/>
      <c r="H85" s="17"/>
      <c r="I85" s="17"/>
      <c r="J85" s="17"/>
      <c r="K85" s="17"/>
      <c r="L85" s="17"/>
      <c r="M85" s="17"/>
      <c r="N85" s="17"/>
    </row>
    <row r="86" spans="1:14" x14ac:dyDescent="0.25">
      <c r="A86" s="29">
        <v>45716</v>
      </c>
      <c r="B86" s="26" t="s">
        <v>253</v>
      </c>
      <c r="C86" s="26" t="str">
        <f>IF(COUNTBLANK(#REF!)=0,#REF!,"Unknown")</f>
        <v>Shopping</v>
      </c>
      <c r="D86" s="31">
        <v>7200</v>
      </c>
      <c r="E86" s="26" t="s">
        <v>1</v>
      </c>
      <c r="F86" s="17"/>
      <c r="G86" s="17"/>
      <c r="H86" s="17"/>
      <c r="I86" s="17"/>
      <c r="J86" s="17"/>
      <c r="K86" s="17"/>
      <c r="L86" s="17"/>
      <c r="M86" s="17"/>
      <c r="N86" s="17"/>
    </row>
    <row r="87" spans="1:14" x14ac:dyDescent="0.25">
      <c r="A87" s="27">
        <v>45717</v>
      </c>
      <c r="B87" s="28" t="s">
        <v>15</v>
      </c>
      <c r="C87" s="26" t="str">
        <f>IF(COUNTBLANK(#REF!)=0,#REF!,"Unknown")</f>
        <v>Utilities</v>
      </c>
      <c r="D87" s="30">
        <v>6100</v>
      </c>
      <c r="E87" s="26" t="s">
        <v>23</v>
      </c>
      <c r="F87" s="17"/>
      <c r="G87" s="17"/>
      <c r="H87" s="17"/>
      <c r="I87" s="17"/>
      <c r="J87" s="17"/>
      <c r="K87" s="17"/>
      <c r="L87" s="17"/>
      <c r="M87" s="17"/>
      <c r="N87" s="17"/>
    </row>
    <row r="88" spans="1:14" x14ac:dyDescent="0.25">
      <c r="A88" s="29">
        <v>45718</v>
      </c>
      <c r="B88" s="26" t="s">
        <v>105</v>
      </c>
      <c r="C88" s="26" t="str">
        <f>IF(COUNTBLANK(#REF!)=0,#REF!,"Unknown")</f>
        <v>Entertainment</v>
      </c>
      <c r="D88" s="31">
        <v>4700</v>
      </c>
      <c r="E88" s="26" t="s">
        <v>287</v>
      </c>
      <c r="F88" s="17"/>
      <c r="G88" s="17"/>
      <c r="H88" s="17"/>
      <c r="I88" s="17"/>
      <c r="J88" s="17"/>
      <c r="K88" s="17"/>
      <c r="L88" s="17"/>
      <c r="M88" s="17"/>
      <c r="N88" s="17"/>
    </row>
    <row r="89" spans="1:14" x14ac:dyDescent="0.25">
      <c r="A89" s="27">
        <v>45719</v>
      </c>
      <c r="B89" s="28" t="s">
        <v>163</v>
      </c>
      <c r="C89" s="26" t="str">
        <f>IF(COUNTBLANK(#REF!)=0,#REF!,"Unknown")</f>
        <v>Investment</v>
      </c>
      <c r="D89" s="30">
        <v>39000</v>
      </c>
      <c r="E89" s="26" t="s">
        <v>46</v>
      </c>
      <c r="F89" s="17"/>
      <c r="G89" s="17"/>
      <c r="H89" s="17"/>
      <c r="I89" s="17"/>
      <c r="J89" s="17"/>
      <c r="K89" s="17"/>
      <c r="L89" s="17"/>
      <c r="M89" s="17"/>
      <c r="N89" s="17"/>
    </row>
    <row r="90" spans="1:14" x14ac:dyDescent="0.25">
      <c r="A90" s="29">
        <v>45720</v>
      </c>
      <c r="B90" s="26" t="s">
        <v>222</v>
      </c>
      <c r="C90" s="26" t="str">
        <f>IF(COUNTBLANK(#REF!)=0,#REF!,"Unknown")</f>
        <v>Healthcare</v>
      </c>
      <c r="D90" s="31">
        <v>4500</v>
      </c>
      <c r="E90" s="26" t="s">
        <v>1</v>
      </c>
      <c r="F90" s="17"/>
      <c r="G90" s="17"/>
      <c r="H90" s="17"/>
      <c r="I90" s="17"/>
      <c r="J90" s="17"/>
      <c r="K90" s="17"/>
      <c r="L90" s="17"/>
      <c r="M90" s="17"/>
      <c r="N90" s="17"/>
    </row>
    <row r="91" spans="1:14" x14ac:dyDescent="0.25">
      <c r="A91" s="27">
        <v>45721</v>
      </c>
      <c r="B91" s="28" t="s">
        <v>246</v>
      </c>
      <c r="C91" s="26" t="str">
        <f>IF(COUNTBLANK(#REF!)=0,#REF!,"Unknown")</f>
        <v>Transport</v>
      </c>
      <c r="D91" s="30">
        <v>5100</v>
      </c>
      <c r="E91" s="26" t="s">
        <v>0</v>
      </c>
      <c r="F91" s="17"/>
      <c r="G91" s="17"/>
      <c r="H91" s="17"/>
      <c r="I91" s="17"/>
      <c r="J91" s="17"/>
      <c r="K91" s="17"/>
      <c r="L91" s="17"/>
      <c r="M91" s="17"/>
      <c r="N91" s="17"/>
    </row>
    <row r="92" spans="1:14" x14ac:dyDescent="0.25">
      <c r="A92" s="29">
        <v>45722</v>
      </c>
      <c r="B92" s="26" t="s">
        <v>247</v>
      </c>
      <c r="C92" s="26" t="str">
        <f>IF(COUNTBLANK(#REF!)=0,#REF!,"Unknown")</f>
        <v>Food</v>
      </c>
      <c r="D92" s="31">
        <v>5900</v>
      </c>
      <c r="E92" s="26" t="s">
        <v>23</v>
      </c>
      <c r="F92" s="17"/>
      <c r="G92" s="17"/>
      <c r="H92" s="17"/>
      <c r="I92" s="17"/>
      <c r="J92" s="17"/>
      <c r="K92" s="17"/>
      <c r="L92" s="17"/>
      <c r="M92" s="17"/>
      <c r="N92" s="17"/>
    </row>
    <row r="93" spans="1:14" x14ac:dyDescent="0.25">
      <c r="A93" s="27">
        <v>45723</v>
      </c>
      <c r="B93" s="28" t="s">
        <v>248</v>
      </c>
      <c r="C93" s="26" t="str">
        <f>IF(COUNTBLANK(#REF!)=0,#REF!,"Unknown")</f>
        <v>Rent</v>
      </c>
      <c r="D93" s="30">
        <v>36000</v>
      </c>
      <c r="E93" s="26" t="s">
        <v>33</v>
      </c>
      <c r="F93" s="17"/>
      <c r="G93" s="17"/>
      <c r="H93" s="17"/>
      <c r="I93" s="17"/>
      <c r="J93" s="17"/>
      <c r="K93" s="17"/>
      <c r="L93" s="17"/>
      <c r="M93" s="17"/>
      <c r="N93" s="17"/>
    </row>
    <row r="94" spans="1:14" x14ac:dyDescent="0.25">
      <c r="A94" s="29">
        <v>45724</v>
      </c>
      <c r="B94" s="26" t="s">
        <v>249</v>
      </c>
      <c r="C94" s="26" t="str">
        <f>IF(COUNTBLANK(#REF!)=0,#REF!,"Unknown")</f>
        <v>Shopping</v>
      </c>
      <c r="D94" s="31">
        <v>8400</v>
      </c>
      <c r="E94" s="26" t="s">
        <v>1</v>
      </c>
      <c r="F94" s="17"/>
      <c r="G94" s="17"/>
      <c r="H94" s="17"/>
      <c r="I94" s="17"/>
      <c r="J94" s="17"/>
      <c r="K94" s="17"/>
      <c r="L94" s="17"/>
      <c r="M94" s="17"/>
      <c r="N94" s="17"/>
    </row>
    <row r="95" spans="1:14" x14ac:dyDescent="0.25">
      <c r="A95" s="27">
        <v>45725</v>
      </c>
      <c r="B95" s="28" t="s">
        <v>250</v>
      </c>
      <c r="C95" s="26" t="str">
        <f>IF(COUNTBLANK(#REF!)=0,#REF!,"Unknown")</f>
        <v>Travel</v>
      </c>
      <c r="D95" s="30">
        <v>9800</v>
      </c>
      <c r="E95" s="26" t="s">
        <v>23</v>
      </c>
      <c r="F95" s="17"/>
      <c r="G95" s="17"/>
      <c r="H95" s="17"/>
      <c r="I95" s="17"/>
      <c r="J95" s="17"/>
      <c r="K95" s="17"/>
      <c r="L95" s="17"/>
      <c r="M95" s="17"/>
      <c r="N95" s="17"/>
    </row>
    <row r="96" spans="1:14" x14ac:dyDescent="0.25">
      <c r="A96" s="29">
        <v>45726</v>
      </c>
      <c r="B96" s="26" t="s">
        <v>251</v>
      </c>
      <c r="C96" s="26" t="str">
        <f>IF(COUNTBLANK(#REF!)=0,#REF!,"Unknown")</f>
        <v>Unknown</v>
      </c>
      <c r="D96" s="31">
        <v>4300</v>
      </c>
      <c r="E96" s="26" t="s">
        <v>1</v>
      </c>
      <c r="F96" s="17"/>
      <c r="G96" s="17"/>
      <c r="H96" s="17"/>
      <c r="I96" s="17"/>
      <c r="J96" s="17"/>
      <c r="K96" s="17"/>
      <c r="L96" s="17"/>
      <c r="M96" s="17"/>
      <c r="N96" s="17"/>
    </row>
    <row r="97" spans="1:14" x14ac:dyDescent="0.25">
      <c r="A97" s="27">
        <v>45727</v>
      </c>
      <c r="B97" s="28" t="s">
        <v>252</v>
      </c>
      <c r="C97" s="26" t="str">
        <f>IF(COUNTBLANK(#REF!)=0,#REF!,"Unknown")</f>
        <v>Investment</v>
      </c>
      <c r="D97" s="30">
        <v>30000</v>
      </c>
      <c r="E97" s="26" t="s">
        <v>46</v>
      </c>
      <c r="F97" s="17"/>
      <c r="G97" s="17"/>
      <c r="H97" s="17"/>
      <c r="I97" s="17"/>
      <c r="J97" s="17"/>
      <c r="K97" s="17"/>
      <c r="L97" s="17"/>
      <c r="M97" s="17"/>
      <c r="N97" s="17"/>
    </row>
    <row r="98" spans="1:14" x14ac:dyDescent="0.25">
      <c r="A98" s="29">
        <v>45728</v>
      </c>
      <c r="B98" s="26" t="s">
        <v>253</v>
      </c>
      <c r="C98" s="26" t="str">
        <f>IF(COUNTBLANK(#REF!)=0,#REF!,"Unknown")</f>
        <v>Groceries</v>
      </c>
      <c r="D98" s="31">
        <v>6700</v>
      </c>
      <c r="E98" s="26" t="s">
        <v>23</v>
      </c>
      <c r="F98" s="17"/>
      <c r="G98" s="17"/>
      <c r="H98" s="17"/>
      <c r="I98" s="17"/>
      <c r="J98" s="17"/>
      <c r="K98" s="17"/>
      <c r="L98" s="17"/>
      <c r="M98" s="17"/>
      <c r="N98" s="17"/>
    </row>
    <row r="99" spans="1:14" x14ac:dyDescent="0.25">
      <c r="A99" s="27">
        <v>45729</v>
      </c>
      <c r="B99" s="28" t="s">
        <v>15</v>
      </c>
      <c r="C99" s="26" t="str">
        <f>IF(COUNTBLANK(#REF!)=0,#REF!,"Unknown")</f>
        <v>Rent</v>
      </c>
      <c r="D99" s="30">
        <v>20000</v>
      </c>
      <c r="E99" s="26" t="s">
        <v>1</v>
      </c>
      <c r="F99" s="17"/>
      <c r="G99" s="17"/>
      <c r="H99" s="17"/>
      <c r="I99" s="17"/>
      <c r="J99" s="17"/>
      <c r="K99" s="17"/>
      <c r="L99" s="17"/>
      <c r="M99" s="17"/>
      <c r="N99" s="17"/>
    </row>
    <row r="100" spans="1:14" x14ac:dyDescent="0.25">
      <c r="A100" s="29">
        <v>45730</v>
      </c>
      <c r="B100" s="26" t="s">
        <v>105</v>
      </c>
      <c r="C100" s="26" t="str">
        <f>IF(COUNTBLANK(#REF!)=0,#REF!,"Unknown")</f>
        <v>Unknown</v>
      </c>
      <c r="D100" s="31">
        <v>3900</v>
      </c>
      <c r="E100" s="26" t="s">
        <v>287</v>
      </c>
      <c r="F100" s="17"/>
      <c r="G100" s="17"/>
      <c r="H100" s="17"/>
      <c r="I100" s="17"/>
      <c r="J100" s="17"/>
      <c r="K100" s="17"/>
      <c r="L100" s="17"/>
      <c r="M100" s="17"/>
      <c r="N100" s="17"/>
    </row>
  </sheetData>
  <mergeCells count="5">
    <mergeCell ref="G2:H2"/>
    <mergeCell ref="G9:H9"/>
    <mergeCell ref="J2:K2"/>
    <mergeCell ref="A1:M1"/>
    <mergeCell ref="J9:K9"/>
  </mergeCells>
  <conditionalFormatting sqref="A3:E100">
    <cfRule type="expression" dxfId="125" priority="1">
      <formula>$E3=$K$4</formula>
    </cfRule>
    <cfRule type="expression" dxfId="124" priority="2">
      <formula>$B3=$K$10</formula>
    </cfRule>
  </conditionalFormatting>
  <dataValidations count="2">
    <dataValidation type="list" allowBlank="1" showInputMessage="1" showErrorMessage="1" sqref="K10">
      <formula1>$G$10:$G$21</formula1>
    </dataValidation>
    <dataValidation type="list" allowBlank="1" showInputMessage="1" showErrorMessage="1" sqref="K3">
      <formula1>$M$3:$M$6</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
  <sheetViews>
    <sheetView showGridLines="0" workbookViewId="0">
      <selection activeCell="C21" sqref="C21"/>
    </sheetView>
  </sheetViews>
  <sheetFormatPr defaultRowHeight="15" x14ac:dyDescent="0.25"/>
  <cols>
    <col min="1" max="1" width="14.28515625" bestFit="1" customWidth="1"/>
    <col min="2" max="2" width="24.42578125" bestFit="1" customWidth="1"/>
  </cols>
  <sheetData>
    <row r="1" spans="1:18" ht="33" x14ac:dyDescent="0.45">
      <c r="A1" s="81" t="s">
        <v>321</v>
      </c>
      <c r="B1" s="81"/>
      <c r="C1" s="81"/>
      <c r="D1" s="81"/>
      <c r="E1" s="81"/>
      <c r="F1" s="81"/>
      <c r="G1" s="81"/>
      <c r="H1" s="81"/>
      <c r="I1" s="81"/>
      <c r="J1" s="81"/>
      <c r="K1" s="81"/>
      <c r="L1" s="81"/>
      <c r="M1" s="81"/>
      <c r="N1" s="81"/>
      <c r="O1" s="81"/>
      <c r="P1" s="81"/>
      <c r="Q1" s="81"/>
      <c r="R1" s="81"/>
    </row>
    <row r="3" spans="1:18" x14ac:dyDescent="0.25">
      <c r="A3" s="22" t="s">
        <v>296</v>
      </c>
      <c r="B3" s="22" t="s">
        <v>300</v>
      </c>
    </row>
    <row r="4" spans="1:18" x14ac:dyDescent="0.25">
      <c r="A4" s="43" t="s">
        <v>50</v>
      </c>
      <c r="B4" s="56">
        <v>19800</v>
      </c>
    </row>
    <row r="5" spans="1:18" x14ac:dyDescent="0.25">
      <c r="A5" s="43" t="s">
        <v>8</v>
      </c>
      <c r="B5" s="56">
        <v>22300</v>
      </c>
    </row>
    <row r="6" spans="1:18" x14ac:dyDescent="0.25">
      <c r="A6" s="43" t="s">
        <v>63</v>
      </c>
      <c r="B6" s="56">
        <v>37400</v>
      </c>
    </row>
    <row r="7" spans="1:18" x14ac:dyDescent="0.25">
      <c r="A7" s="43" t="s">
        <v>2</v>
      </c>
      <c r="B7" s="56">
        <v>38500</v>
      </c>
    </row>
    <row r="8" spans="1:18" x14ac:dyDescent="0.25">
      <c r="A8" s="43" t="s">
        <v>42</v>
      </c>
      <c r="B8" s="56">
        <v>42100</v>
      </c>
    </row>
    <row r="9" spans="1:18" x14ac:dyDescent="0.25">
      <c r="A9" s="43" t="s">
        <v>9</v>
      </c>
      <c r="B9" s="56">
        <v>183000</v>
      </c>
    </row>
    <row r="10" spans="1:18" x14ac:dyDescent="0.25">
      <c r="A10" s="43" t="s">
        <v>5</v>
      </c>
      <c r="B10" s="56">
        <v>291500</v>
      </c>
    </row>
    <row r="11" spans="1:18" x14ac:dyDescent="0.25">
      <c r="A11" s="43" t="s">
        <v>58</v>
      </c>
      <c r="B11" s="56">
        <v>39000</v>
      </c>
    </row>
    <row r="12" spans="1:18" x14ac:dyDescent="0.25">
      <c r="A12" s="43" t="s">
        <v>6</v>
      </c>
      <c r="B12" s="56">
        <v>13900</v>
      </c>
    </row>
    <row r="13" spans="1:18" x14ac:dyDescent="0.25">
      <c r="A13" s="43" t="s">
        <v>54</v>
      </c>
      <c r="B13" s="56">
        <v>29900</v>
      </c>
    </row>
    <row r="14" spans="1:18" x14ac:dyDescent="0.25">
      <c r="A14" s="43" t="s">
        <v>299</v>
      </c>
      <c r="B14" s="56">
        <v>35100</v>
      </c>
    </row>
    <row r="15" spans="1:18" x14ac:dyDescent="0.25">
      <c r="A15" s="43" t="s">
        <v>7</v>
      </c>
      <c r="B15" s="56">
        <v>26500</v>
      </c>
    </row>
    <row r="16" spans="1:18" x14ac:dyDescent="0.25">
      <c r="A16" s="42" t="s">
        <v>297</v>
      </c>
      <c r="B16" s="57">
        <v>779000</v>
      </c>
    </row>
  </sheetData>
  <mergeCells count="1">
    <mergeCell ref="A1:R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zoomScale="130" zoomScaleNormal="130" workbookViewId="0">
      <selection activeCell="C12" sqref="C12"/>
    </sheetView>
  </sheetViews>
  <sheetFormatPr defaultRowHeight="15" x14ac:dyDescent="0.25"/>
  <cols>
    <col min="1" max="1" width="18" customWidth="1"/>
    <col min="2" max="2" width="19.42578125" customWidth="1"/>
    <col min="3" max="3" width="11.5703125" customWidth="1"/>
    <col min="4" max="4" width="15.140625" customWidth="1"/>
    <col min="5" max="5" width="16.42578125" bestFit="1" customWidth="1"/>
    <col min="6" max="6" width="15.85546875" bestFit="1" customWidth="1"/>
    <col min="7" max="7" width="18.7109375" bestFit="1" customWidth="1"/>
    <col min="8" max="8" width="18.42578125" customWidth="1"/>
  </cols>
  <sheetData>
    <row r="1" spans="1:8" ht="45" x14ac:dyDescent="0.6">
      <c r="A1" s="84" t="s">
        <v>288</v>
      </c>
      <c r="B1" s="85"/>
      <c r="C1" s="85"/>
      <c r="D1" s="85"/>
      <c r="E1" s="85"/>
      <c r="F1" s="85"/>
      <c r="G1" s="85"/>
      <c r="H1" s="85"/>
    </row>
    <row r="2" spans="1:8" ht="20.25" x14ac:dyDescent="0.3">
      <c r="A2" s="83" t="s">
        <v>292</v>
      </c>
      <c r="B2" s="83"/>
      <c r="D2" s="83" t="s">
        <v>294</v>
      </c>
      <c r="E2" s="83"/>
      <c r="F2" s="83"/>
      <c r="G2" s="83"/>
      <c r="H2" s="83"/>
    </row>
    <row r="3" spans="1:8" x14ac:dyDescent="0.25">
      <c r="A3" s="9" t="s">
        <v>263</v>
      </c>
      <c r="B3" s="9" t="s">
        <v>293</v>
      </c>
      <c r="D3" s="9" t="s">
        <v>263</v>
      </c>
      <c r="E3" s="9" t="s">
        <v>295</v>
      </c>
      <c r="F3" s="9" t="s">
        <v>289</v>
      </c>
      <c r="G3" s="9" t="s">
        <v>290</v>
      </c>
      <c r="H3" s="9" t="s">
        <v>291</v>
      </c>
    </row>
    <row r="4" spans="1:8" x14ac:dyDescent="0.25">
      <c r="A4" s="26" t="s">
        <v>5</v>
      </c>
      <c r="B4" s="31">
        <v>350000</v>
      </c>
      <c r="D4" s="26" t="s">
        <v>5</v>
      </c>
      <c r="E4" s="31">
        <f>VLOOKUP(D4,A4:B13,2,FALSE)</f>
        <v>350000</v>
      </c>
      <c r="F4" s="31">
        <f>SUMIF('Expense Sheet'!$C:$C,D4,'Expense Sheet'!$D:$D)</f>
        <v>327000</v>
      </c>
      <c r="G4" s="31">
        <f>(E4-F4)</f>
        <v>23000</v>
      </c>
      <c r="H4" s="26" t="str">
        <f>IF(G4&gt;=0,"Within Budget","Over Budget")</f>
        <v>Within Budget</v>
      </c>
    </row>
    <row r="5" spans="1:8" x14ac:dyDescent="0.25">
      <c r="A5" s="26" t="s">
        <v>2</v>
      </c>
      <c r="B5" s="31">
        <v>30000</v>
      </c>
      <c r="D5" s="26" t="s">
        <v>2</v>
      </c>
      <c r="E5" s="31">
        <f t="shared" ref="E5:E13" si="0">VLOOKUP(D5,A5:B14,2,FALSE)</f>
        <v>30000</v>
      </c>
      <c r="F5" s="31">
        <f>SUMIF('Expense Sheet'!$C:$C,D5,'Expense Sheet'!$D:$D)</f>
        <v>38500</v>
      </c>
      <c r="G5" s="31">
        <f t="shared" ref="G5:G13" si="1">(E5-F5)</f>
        <v>-8500</v>
      </c>
      <c r="H5" s="26" t="str">
        <f t="shared" ref="H5:H13" si="2">IF(G5&gt;=0,"Within Budget","Over Budget")</f>
        <v>Over Budget</v>
      </c>
    </row>
    <row r="6" spans="1:8" x14ac:dyDescent="0.25">
      <c r="A6" s="26" t="s">
        <v>63</v>
      </c>
      <c r="B6" s="31">
        <v>45000</v>
      </c>
      <c r="D6" s="26" t="s">
        <v>63</v>
      </c>
      <c r="E6" s="31">
        <f t="shared" si="0"/>
        <v>45000</v>
      </c>
      <c r="F6" s="31">
        <f>SUMIF('Expense Sheet'!$C:$C,D6,'Expense Sheet'!$D:$D)</f>
        <v>41300</v>
      </c>
      <c r="G6" s="31">
        <f t="shared" si="1"/>
        <v>3700</v>
      </c>
      <c r="H6" s="26" t="str">
        <f t="shared" si="2"/>
        <v>Within Budget</v>
      </c>
    </row>
    <row r="7" spans="1:8" x14ac:dyDescent="0.25">
      <c r="A7" s="26" t="s">
        <v>7</v>
      </c>
      <c r="B7" s="31">
        <v>30000</v>
      </c>
      <c r="D7" s="26" t="s">
        <v>7</v>
      </c>
      <c r="E7" s="31">
        <f t="shared" si="0"/>
        <v>30000</v>
      </c>
      <c r="F7" s="31">
        <f>SUMIF('Expense Sheet'!$C:$C,D7,'Expense Sheet'!$D:$D)</f>
        <v>44800</v>
      </c>
      <c r="G7" s="31">
        <f t="shared" si="1"/>
        <v>-14800</v>
      </c>
      <c r="H7" s="26" t="str">
        <f t="shared" si="2"/>
        <v>Over Budget</v>
      </c>
    </row>
    <row r="8" spans="1:8" x14ac:dyDescent="0.25">
      <c r="A8" s="26" t="s">
        <v>8</v>
      </c>
      <c r="B8" s="31">
        <v>40000</v>
      </c>
      <c r="D8" s="26" t="s">
        <v>8</v>
      </c>
      <c r="E8" s="31">
        <f t="shared" si="0"/>
        <v>40000</v>
      </c>
      <c r="F8" s="31">
        <f>SUMIF('Expense Sheet'!$C:$C,D8,'Expense Sheet'!$D:$D)</f>
        <v>34000</v>
      </c>
      <c r="G8" s="31">
        <f t="shared" si="1"/>
        <v>6000</v>
      </c>
      <c r="H8" s="26" t="str">
        <f t="shared" si="2"/>
        <v>Within Budget</v>
      </c>
    </row>
    <row r="9" spans="1:8" x14ac:dyDescent="0.25">
      <c r="A9" s="26" t="s">
        <v>42</v>
      </c>
      <c r="B9" s="31">
        <v>70000</v>
      </c>
      <c r="D9" s="26" t="s">
        <v>42</v>
      </c>
      <c r="E9" s="31">
        <f t="shared" si="0"/>
        <v>70000</v>
      </c>
      <c r="F9" s="31">
        <f>SUMIF('Expense Sheet'!$C:$C,D9,'Expense Sheet'!$D:$D)</f>
        <v>56000</v>
      </c>
      <c r="G9" s="31">
        <f t="shared" si="1"/>
        <v>14000</v>
      </c>
      <c r="H9" s="26" t="str">
        <f t="shared" si="2"/>
        <v>Within Budget</v>
      </c>
    </row>
    <row r="10" spans="1:8" x14ac:dyDescent="0.25">
      <c r="A10" s="26" t="s">
        <v>50</v>
      </c>
      <c r="B10" s="31">
        <v>30000</v>
      </c>
      <c r="D10" s="26" t="s">
        <v>50</v>
      </c>
      <c r="E10" s="31">
        <f t="shared" si="0"/>
        <v>30000</v>
      </c>
      <c r="F10" s="31">
        <f>SUMIF('Expense Sheet'!$C:$C,D10,'Expense Sheet'!$D:$D)</f>
        <v>23700</v>
      </c>
      <c r="G10" s="31">
        <f t="shared" si="1"/>
        <v>6300</v>
      </c>
      <c r="H10" s="26" t="str">
        <f t="shared" si="2"/>
        <v>Within Budget</v>
      </c>
    </row>
    <row r="11" spans="1:8" x14ac:dyDescent="0.25">
      <c r="A11" s="26" t="s">
        <v>6</v>
      </c>
      <c r="B11" s="31">
        <v>30000</v>
      </c>
      <c r="D11" s="26" t="s">
        <v>6</v>
      </c>
      <c r="E11" s="31">
        <f t="shared" si="0"/>
        <v>30000</v>
      </c>
      <c r="F11" s="31">
        <f>SUMIF('Expense Sheet'!$C:$C,D11,'Expense Sheet'!$D:$D)</f>
        <v>23100</v>
      </c>
      <c r="G11" s="31">
        <f t="shared" si="1"/>
        <v>6900</v>
      </c>
      <c r="H11" s="26" t="str">
        <f t="shared" si="2"/>
        <v>Within Budget</v>
      </c>
    </row>
    <row r="12" spans="1:8" x14ac:dyDescent="0.25">
      <c r="A12" s="26" t="s">
        <v>58</v>
      </c>
      <c r="B12" s="31">
        <v>90000</v>
      </c>
      <c r="D12" s="26" t="s">
        <v>58</v>
      </c>
      <c r="E12" s="31">
        <f t="shared" si="0"/>
        <v>90000</v>
      </c>
      <c r="F12" s="31">
        <f>SUMIF('Expense Sheet'!$C:$C,D12,'Expense Sheet'!$D:$D)</f>
        <v>78900</v>
      </c>
      <c r="G12" s="31">
        <f t="shared" si="1"/>
        <v>11100</v>
      </c>
      <c r="H12" s="26" t="str">
        <f t="shared" si="2"/>
        <v>Within Budget</v>
      </c>
    </row>
    <row r="13" spans="1:8" x14ac:dyDescent="0.25">
      <c r="A13" s="26" t="s">
        <v>9</v>
      </c>
      <c r="B13" s="31">
        <v>350000</v>
      </c>
      <c r="D13" s="26" t="s">
        <v>9</v>
      </c>
      <c r="E13" s="31">
        <f t="shared" si="0"/>
        <v>350000</v>
      </c>
      <c r="F13" s="31">
        <f>SUMIF('Expense Sheet'!$C:$C,D13,'Expense Sheet'!$D:$D)</f>
        <v>344000</v>
      </c>
      <c r="G13" s="31">
        <f t="shared" si="1"/>
        <v>6000</v>
      </c>
      <c r="H13" s="26" t="str">
        <f t="shared" si="2"/>
        <v>Within Budget</v>
      </c>
    </row>
    <row r="14" spans="1:8" x14ac:dyDescent="0.25">
      <c r="A14" s="37"/>
      <c r="B14" s="40"/>
      <c r="D14" s="37"/>
      <c r="E14" s="40"/>
      <c r="F14" s="4"/>
      <c r="G14" s="4"/>
      <c r="H14" s="4"/>
    </row>
  </sheetData>
  <mergeCells count="3">
    <mergeCell ref="A2:B2"/>
    <mergeCell ref="D2:H2"/>
    <mergeCell ref="A1:H1"/>
  </mergeCells>
  <conditionalFormatting sqref="H4:H13">
    <cfRule type="cellIs" dxfId="123" priority="1" operator="equal">
      <formula>"Over Budget"</formula>
    </cfRule>
    <cfRule type="cellIs" dxfId="122" priority="2" operator="equal">
      <formula>"Within Budget"</formula>
    </cfRule>
    <cfRule type="cellIs" dxfId="121" priority="3" operator="equal">
      <formula>"""Within Budget"""</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showGridLines="0" workbookViewId="0">
      <selection activeCell="D18" sqref="D18"/>
    </sheetView>
  </sheetViews>
  <sheetFormatPr defaultRowHeight="15" x14ac:dyDescent="0.25"/>
  <cols>
    <col min="1" max="1" width="14.28515625" bestFit="1" customWidth="1"/>
    <col min="2" max="2" width="23.5703125" bestFit="1" customWidth="1"/>
    <col min="3" max="3" width="23" bestFit="1" customWidth="1"/>
  </cols>
  <sheetData>
    <row r="1" spans="1:16" ht="33" x14ac:dyDescent="0.45">
      <c r="A1" s="81" t="s">
        <v>322</v>
      </c>
      <c r="B1" s="81"/>
      <c r="C1" s="81"/>
      <c r="D1" s="81"/>
      <c r="E1" s="81"/>
      <c r="F1" s="81"/>
      <c r="G1" s="81"/>
      <c r="H1" s="81"/>
      <c r="I1" s="81"/>
      <c r="J1" s="81"/>
      <c r="K1" s="81"/>
      <c r="L1" s="81"/>
      <c r="M1" s="81"/>
      <c r="N1" s="81"/>
      <c r="O1" s="81"/>
      <c r="P1" s="81"/>
    </row>
    <row r="3" spans="1:16" x14ac:dyDescent="0.25">
      <c r="A3" s="47" t="s">
        <v>296</v>
      </c>
      <c r="B3" s="47" t="s">
        <v>301</v>
      </c>
      <c r="C3" s="47" t="s">
        <v>302</v>
      </c>
    </row>
    <row r="4" spans="1:16" x14ac:dyDescent="0.25">
      <c r="A4" s="46" t="s">
        <v>50</v>
      </c>
      <c r="B4" s="45">
        <v>30000</v>
      </c>
      <c r="C4" s="45">
        <v>23700</v>
      </c>
    </row>
    <row r="5" spans="1:16" x14ac:dyDescent="0.25">
      <c r="A5" s="46" t="s">
        <v>8</v>
      </c>
      <c r="B5" s="45">
        <v>40000</v>
      </c>
      <c r="C5" s="45">
        <v>34000</v>
      </c>
    </row>
    <row r="6" spans="1:16" x14ac:dyDescent="0.25">
      <c r="A6" s="46" t="s">
        <v>63</v>
      </c>
      <c r="B6" s="45">
        <v>45000</v>
      </c>
      <c r="C6" s="45">
        <v>41300</v>
      </c>
    </row>
    <row r="7" spans="1:16" x14ac:dyDescent="0.25">
      <c r="A7" s="46" t="s">
        <v>2</v>
      </c>
      <c r="B7" s="45">
        <v>30000</v>
      </c>
      <c r="C7" s="45">
        <v>38500</v>
      </c>
    </row>
    <row r="8" spans="1:16" x14ac:dyDescent="0.25">
      <c r="A8" s="46" t="s">
        <v>42</v>
      </c>
      <c r="B8" s="45">
        <v>70000</v>
      </c>
      <c r="C8" s="45">
        <v>56000</v>
      </c>
    </row>
    <row r="9" spans="1:16" x14ac:dyDescent="0.25">
      <c r="A9" s="46" t="s">
        <v>9</v>
      </c>
      <c r="B9" s="45">
        <v>350000</v>
      </c>
      <c r="C9" s="45">
        <v>344000</v>
      </c>
    </row>
    <row r="10" spans="1:16" x14ac:dyDescent="0.25">
      <c r="A10" s="46" t="s">
        <v>5</v>
      </c>
      <c r="B10" s="45">
        <v>350000</v>
      </c>
      <c r="C10" s="45">
        <v>327000</v>
      </c>
    </row>
    <row r="11" spans="1:16" x14ac:dyDescent="0.25">
      <c r="A11" s="46" t="s">
        <v>58</v>
      </c>
      <c r="B11" s="45">
        <v>90000</v>
      </c>
      <c r="C11" s="45">
        <v>78900</v>
      </c>
    </row>
    <row r="12" spans="1:16" x14ac:dyDescent="0.25">
      <c r="A12" s="46" t="s">
        <v>6</v>
      </c>
      <c r="B12" s="45">
        <v>30000</v>
      </c>
      <c r="C12" s="45">
        <v>23100</v>
      </c>
    </row>
    <row r="13" spans="1:16" x14ac:dyDescent="0.25">
      <c r="A13" s="46" t="s">
        <v>7</v>
      </c>
      <c r="B13" s="45">
        <v>30000</v>
      </c>
      <c r="C13" s="45">
        <v>44800</v>
      </c>
    </row>
    <row r="14" spans="1:16" x14ac:dyDescent="0.25">
      <c r="A14" s="49" t="s">
        <v>297</v>
      </c>
      <c r="B14" s="48">
        <v>1065000</v>
      </c>
      <c r="C14" s="48">
        <v>1011300</v>
      </c>
    </row>
  </sheetData>
  <mergeCells count="1">
    <mergeCell ref="A1:P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4"/>
  <sheetViews>
    <sheetView showGridLines="0" zoomScale="95" zoomScaleNormal="95" workbookViewId="0">
      <selection activeCell="J17" sqref="J17"/>
    </sheetView>
  </sheetViews>
  <sheetFormatPr defaultRowHeight="15" x14ac:dyDescent="0.25"/>
  <cols>
    <col min="19" max="19" width="12.5703125" customWidth="1"/>
    <col min="20" max="20" width="11.5703125" customWidth="1"/>
  </cols>
  <sheetData>
    <row r="1" spans="1:20" ht="33" customHeight="1" x14ac:dyDescent="0.25">
      <c r="A1" s="94" t="s">
        <v>303</v>
      </c>
      <c r="B1" s="94"/>
      <c r="C1" s="94"/>
      <c r="D1" s="94"/>
      <c r="E1" s="94"/>
      <c r="F1" s="94"/>
      <c r="G1" s="94"/>
      <c r="H1" s="94"/>
      <c r="I1" s="94"/>
      <c r="J1" s="94"/>
      <c r="K1" s="94"/>
      <c r="L1" s="94"/>
      <c r="M1" s="94"/>
      <c r="N1" s="94"/>
      <c r="O1" s="94"/>
      <c r="P1" s="94"/>
      <c r="Q1" s="96" t="s">
        <v>305</v>
      </c>
      <c r="R1" s="96"/>
      <c r="S1" s="96"/>
      <c r="T1" s="54"/>
    </row>
    <row r="2" spans="1:20" s="51" customFormat="1" ht="37.5" customHeight="1" x14ac:dyDescent="0.25">
      <c r="A2" s="95" t="s">
        <v>304</v>
      </c>
      <c r="B2" s="95"/>
      <c r="C2" s="95"/>
      <c r="D2" s="95"/>
      <c r="E2" s="95"/>
      <c r="F2" s="95"/>
      <c r="G2" s="95"/>
      <c r="H2" s="95"/>
      <c r="I2" s="95"/>
      <c r="J2" s="95"/>
      <c r="K2" s="95"/>
      <c r="L2" s="95"/>
      <c r="M2" s="95"/>
      <c r="N2" s="95"/>
      <c r="O2" s="95"/>
      <c r="P2" s="95"/>
      <c r="Q2" s="97"/>
      <c r="R2" s="97"/>
      <c r="S2" s="97"/>
      <c r="T2" s="54"/>
    </row>
    <row r="3" spans="1:20" x14ac:dyDescent="0.25">
      <c r="A3" s="101" t="s">
        <v>306</v>
      </c>
      <c r="B3" s="101"/>
      <c r="C3" s="102"/>
      <c r="D3" s="53"/>
      <c r="E3" s="99" t="s">
        <v>309</v>
      </c>
      <c r="F3" s="99"/>
      <c r="G3" s="99"/>
      <c r="H3" s="1"/>
      <c r="I3" s="100" t="s">
        <v>312</v>
      </c>
      <c r="J3" s="100"/>
      <c r="K3" s="100"/>
      <c r="L3" s="1"/>
      <c r="M3" s="93" t="s">
        <v>315</v>
      </c>
      <c r="N3" s="93"/>
      <c r="O3" s="93"/>
      <c r="P3" s="1"/>
      <c r="Q3" s="98" t="s">
        <v>318</v>
      </c>
      <c r="R3" s="98"/>
      <c r="S3" s="98"/>
      <c r="T3" s="55"/>
    </row>
    <row r="4" spans="1:20" ht="30.75" customHeight="1" x14ac:dyDescent="0.25">
      <c r="A4" s="103" t="s">
        <v>307</v>
      </c>
      <c r="B4" s="103"/>
      <c r="C4" s="104"/>
      <c r="D4" s="52"/>
      <c r="E4" s="86" t="s">
        <v>310</v>
      </c>
      <c r="F4" s="86"/>
      <c r="G4" s="86"/>
      <c r="H4" s="1"/>
      <c r="I4" s="88" t="s">
        <v>313</v>
      </c>
      <c r="J4" s="88"/>
      <c r="K4" s="88"/>
      <c r="L4" s="1"/>
      <c r="M4" s="86" t="s">
        <v>316</v>
      </c>
      <c r="N4" s="86"/>
      <c r="O4" s="86"/>
      <c r="P4" s="1"/>
      <c r="Q4" s="105">
        <v>742</v>
      </c>
      <c r="R4" s="105"/>
      <c r="S4" s="105"/>
      <c r="T4" s="1"/>
    </row>
    <row r="5" spans="1:20" ht="15" customHeight="1" x14ac:dyDescent="0.25">
      <c r="A5" s="103"/>
      <c r="B5" s="103"/>
      <c r="C5" s="104"/>
      <c r="D5" s="52"/>
      <c r="E5" s="86"/>
      <c r="F5" s="86"/>
      <c r="G5" s="86"/>
      <c r="H5" s="1"/>
      <c r="I5" s="88"/>
      <c r="J5" s="88"/>
      <c r="K5" s="88"/>
      <c r="L5" s="1"/>
      <c r="M5" s="86"/>
      <c r="N5" s="86"/>
      <c r="O5" s="86"/>
      <c r="P5" s="1"/>
      <c r="Q5" s="105"/>
      <c r="R5" s="105"/>
      <c r="S5" s="105"/>
      <c r="T5" s="1"/>
    </row>
    <row r="6" spans="1:20" ht="22.5" customHeight="1" x14ac:dyDescent="0.25">
      <c r="A6" s="90" t="s">
        <v>308</v>
      </c>
      <c r="B6" s="90"/>
      <c r="C6" s="91"/>
      <c r="D6" s="52"/>
      <c r="E6" s="87" t="s">
        <v>311</v>
      </c>
      <c r="F6" s="87"/>
      <c r="G6" s="87"/>
      <c r="H6" s="1"/>
      <c r="I6" s="89" t="s">
        <v>314</v>
      </c>
      <c r="J6" s="89"/>
      <c r="K6" s="89"/>
      <c r="L6" s="1"/>
      <c r="M6" s="87" t="s">
        <v>317</v>
      </c>
      <c r="N6" s="87"/>
      <c r="O6" s="87"/>
      <c r="P6" s="1"/>
      <c r="Q6" s="106" t="s">
        <v>319</v>
      </c>
      <c r="R6" s="106"/>
      <c r="S6" s="106"/>
      <c r="T6" s="1"/>
    </row>
    <row r="7" spans="1:20" x14ac:dyDescent="0.25">
      <c r="A7" s="77" t="s">
        <v>323</v>
      </c>
      <c r="B7" s="77"/>
      <c r="C7" s="77"/>
      <c r="D7" s="77"/>
      <c r="E7" s="77"/>
      <c r="F7" s="77"/>
      <c r="G7" s="77"/>
      <c r="H7" s="77"/>
      <c r="I7" s="80"/>
      <c r="J7" s="58"/>
      <c r="K7" s="80" t="s">
        <v>324</v>
      </c>
      <c r="L7" s="77"/>
      <c r="M7" s="77"/>
      <c r="N7" s="77"/>
      <c r="O7" s="77"/>
      <c r="P7" s="77"/>
      <c r="Q7" s="77"/>
      <c r="R7" s="77"/>
      <c r="S7" s="77"/>
    </row>
    <row r="24" spans="1:19" x14ac:dyDescent="0.25">
      <c r="A24" s="58"/>
      <c r="B24" s="58"/>
      <c r="C24" s="58"/>
      <c r="D24" s="58"/>
      <c r="E24" s="58"/>
      <c r="F24" s="92" t="s">
        <v>325</v>
      </c>
      <c r="G24" s="92"/>
      <c r="H24" s="92"/>
      <c r="I24" s="92"/>
      <c r="J24" s="92"/>
      <c r="K24" s="92"/>
      <c r="L24" s="92"/>
      <c r="M24" s="92"/>
      <c r="N24" s="92"/>
      <c r="O24" s="58"/>
      <c r="P24" s="58"/>
      <c r="Q24" s="58"/>
      <c r="R24" s="58"/>
      <c r="S24" s="58"/>
    </row>
  </sheetData>
  <mergeCells count="21">
    <mergeCell ref="A7:I7"/>
    <mergeCell ref="K7:S7"/>
    <mergeCell ref="F24:N24"/>
    <mergeCell ref="M3:O3"/>
    <mergeCell ref="A1:P1"/>
    <mergeCell ref="A2:P2"/>
    <mergeCell ref="Q1:S2"/>
    <mergeCell ref="Q3:S3"/>
    <mergeCell ref="E3:G3"/>
    <mergeCell ref="I3:K3"/>
    <mergeCell ref="A3:C3"/>
    <mergeCell ref="A4:C5"/>
    <mergeCell ref="Q4:S5"/>
    <mergeCell ref="Q6:S6"/>
    <mergeCell ref="M4:O5"/>
    <mergeCell ref="M6:O6"/>
    <mergeCell ref="E4:G5"/>
    <mergeCell ref="E6:G6"/>
    <mergeCell ref="I4:K5"/>
    <mergeCell ref="I6:K6"/>
    <mergeCell ref="A6:C6"/>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showGridLines="0" workbookViewId="0">
      <selection activeCell="E17" sqref="E17"/>
    </sheetView>
  </sheetViews>
  <sheetFormatPr defaultRowHeight="15" x14ac:dyDescent="0.25"/>
  <cols>
    <col min="1" max="1" width="20.85546875" customWidth="1"/>
    <col min="2" max="2" width="26.42578125" customWidth="1"/>
    <col min="4" max="4" width="25" customWidth="1"/>
    <col min="5" max="5" width="27.7109375" customWidth="1"/>
    <col min="7" max="7" width="14.28515625" bestFit="1" customWidth="1"/>
    <col min="8" max="8" width="23.5703125" bestFit="1" customWidth="1"/>
    <col min="9" max="9" width="23" bestFit="1" customWidth="1"/>
  </cols>
  <sheetData>
    <row r="1" spans="1:15" ht="33" x14ac:dyDescent="0.45">
      <c r="A1" s="81" t="s">
        <v>326</v>
      </c>
      <c r="B1" s="81"/>
      <c r="C1" s="81"/>
      <c r="D1" s="81"/>
      <c r="E1" s="81"/>
      <c r="F1" s="81"/>
      <c r="G1" s="81"/>
      <c r="H1" s="81"/>
      <c r="I1" s="81"/>
      <c r="J1" s="62"/>
      <c r="K1" s="62"/>
      <c r="L1" s="62"/>
      <c r="M1" s="62"/>
      <c r="N1" s="62"/>
      <c r="O1" s="62"/>
    </row>
    <row r="2" spans="1:15" ht="28.5" customHeight="1" x14ac:dyDescent="0.3">
      <c r="A2" s="107" t="s">
        <v>327</v>
      </c>
      <c r="B2" s="107"/>
      <c r="D2" s="108" t="s">
        <v>328</v>
      </c>
      <c r="E2" s="108"/>
      <c r="G2" s="108" t="s">
        <v>329</v>
      </c>
      <c r="H2" s="108"/>
      <c r="I2" s="108"/>
    </row>
    <row r="3" spans="1:15" x14ac:dyDescent="0.25">
      <c r="A3" s="59" t="s">
        <v>296</v>
      </c>
      <c r="B3" s="39" t="s">
        <v>298</v>
      </c>
      <c r="D3" s="60" t="s">
        <v>296</v>
      </c>
      <c r="E3" s="22" t="s">
        <v>300</v>
      </c>
      <c r="G3" s="61" t="s">
        <v>296</v>
      </c>
      <c r="H3" s="61" t="s">
        <v>301</v>
      </c>
      <c r="I3" s="47" t="s">
        <v>302</v>
      </c>
    </row>
    <row r="4" spans="1:15" x14ac:dyDescent="0.25">
      <c r="A4" s="35" t="s">
        <v>15</v>
      </c>
      <c r="B4" s="41">
        <v>605000</v>
      </c>
      <c r="D4" s="43" t="s">
        <v>50</v>
      </c>
      <c r="E4" s="56">
        <v>19800</v>
      </c>
      <c r="G4" s="46" t="s">
        <v>50</v>
      </c>
      <c r="H4" s="45">
        <v>30000</v>
      </c>
      <c r="I4" s="45">
        <v>23700</v>
      </c>
    </row>
    <row r="5" spans="1:15" x14ac:dyDescent="0.25">
      <c r="A5" s="35" t="s">
        <v>105</v>
      </c>
      <c r="B5" s="41">
        <v>681000</v>
      </c>
      <c r="D5" s="43" t="s">
        <v>8</v>
      </c>
      <c r="E5" s="56">
        <v>22300</v>
      </c>
      <c r="G5" s="46" t="s">
        <v>8</v>
      </c>
      <c r="H5" s="45">
        <v>40000</v>
      </c>
      <c r="I5" s="45">
        <v>34000</v>
      </c>
    </row>
    <row r="6" spans="1:15" x14ac:dyDescent="0.25">
      <c r="A6" s="35" t="s">
        <v>163</v>
      </c>
      <c r="B6" s="41">
        <v>570000</v>
      </c>
      <c r="D6" s="43" t="s">
        <v>63</v>
      </c>
      <c r="E6" s="56">
        <v>37400</v>
      </c>
      <c r="G6" s="46" t="s">
        <v>63</v>
      </c>
      <c r="H6" s="45">
        <v>45000</v>
      </c>
      <c r="I6" s="45">
        <v>41300</v>
      </c>
    </row>
    <row r="7" spans="1:15" x14ac:dyDescent="0.25">
      <c r="A7" s="35" t="s">
        <v>222</v>
      </c>
      <c r="B7" s="41">
        <v>817000</v>
      </c>
      <c r="D7" s="43" t="s">
        <v>2</v>
      </c>
      <c r="E7" s="56">
        <v>38500</v>
      </c>
      <c r="G7" s="46" t="s">
        <v>2</v>
      </c>
      <c r="H7" s="45">
        <v>30000</v>
      </c>
      <c r="I7" s="45">
        <v>38500</v>
      </c>
    </row>
    <row r="8" spans="1:15" x14ac:dyDescent="0.25">
      <c r="A8" s="35" t="s">
        <v>246</v>
      </c>
      <c r="B8" s="41">
        <v>552000</v>
      </c>
      <c r="D8" s="43" t="s">
        <v>42</v>
      </c>
      <c r="E8" s="56">
        <v>42100</v>
      </c>
      <c r="G8" s="46" t="s">
        <v>42</v>
      </c>
      <c r="H8" s="45">
        <v>70000</v>
      </c>
      <c r="I8" s="45">
        <v>56000</v>
      </c>
    </row>
    <row r="9" spans="1:15" x14ac:dyDescent="0.25">
      <c r="A9" s="35" t="s">
        <v>247</v>
      </c>
      <c r="B9" s="41">
        <v>639000</v>
      </c>
      <c r="D9" s="43" t="s">
        <v>9</v>
      </c>
      <c r="E9" s="56">
        <v>183000</v>
      </c>
      <c r="G9" s="46" t="s">
        <v>9</v>
      </c>
      <c r="H9" s="45">
        <v>350000</v>
      </c>
      <c r="I9" s="45">
        <v>344000</v>
      </c>
    </row>
    <row r="10" spans="1:15" x14ac:dyDescent="0.25">
      <c r="A10" s="35" t="s">
        <v>248</v>
      </c>
      <c r="B10" s="41">
        <v>731000</v>
      </c>
      <c r="D10" s="43" t="s">
        <v>5</v>
      </c>
      <c r="E10" s="56">
        <v>291500</v>
      </c>
      <c r="G10" s="46" t="s">
        <v>5</v>
      </c>
      <c r="H10" s="45">
        <v>350000</v>
      </c>
      <c r="I10" s="45">
        <v>327000</v>
      </c>
    </row>
    <row r="11" spans="1:15" x14ac:dyDescent="0.25">
      <c r="A11" s="35" t="s">
        <v>249</v>
      </c>
      <c r="B11" s="41">
        <v>630000</v>
      </c>
      <c r="D11" s="43" t="s">
        <v>58</v>
      </c>
      <c r="E11" s="56">
        <v>39000</v>
      </c>
      <c r="G11" s="46" t="s">
        <v>58</v>
      </c>
      <c r="H11" s="45">
        <v>90000</v>
      </c>
      <c r="I11" s="45">
        <v>78900</v>
      </c>
    </row>
    <row r="12" spans="1:15" x14ac:dyDescent="0.25">
      <c r="A12" s="35" t="s">
        <v>250</v>
      </c>
      <c r="B12" s="41">
        <v>661000</v>
      </c>
      <c r="D12" s="43" t="s">
        <v>6</v>
      </c>
      <c r="E12" s="56">
        <v>13900</v>
      </c>
      <c r="G12" s="46" t="s">
        <v>6</v>
      </c>
      <c r="H12" s="45">
        <v>30000</v>
      </c>
      <c r="I12" s="45">
        <v>23100</v>
      </c>
    </row>
    <row r="13" spans="1:15" x14ac:dyDescent="0.25">
      <c r="A13" s="35" t="s">
        <v>251</v>
      </c>
      <c r="B13" s="41">
        <v>465000</v>
      </c>
      <c r="D13" s="43" t="s">
        <v>54</v>
      </c>
      <c r="E13" s="56">
        <v>29900</v>
      </c>
      <c r="G13" s="46" t="s">
        <v>7</v>
      </c>
      <c r="H13" s="45">
        <v>30000</v>
      </c>
      <c r="I13" s="45">
        <v>44800</v>
      </c>
    </row>
    <row r="14" spans="1:15" x14ac:dyDescent="0.25">
      <c r="A14" s="35" t="s">
        <v>252</v>
      </c>
      <c r="B14" s="41">
        <v>825000</v>
      </c>
      <c r="D14" s="43" t="s">
        <v>299</v>
      </c>
      <c r="E14" s="56">
        <v>35100</v>
      </c>
      <c r="G14" s="49" t="s">
        <v>297</v>
      </c>
      <c r="H14" s="48">
        <v>1065000</v>
      </c>
      <c r="I14" s="48">
        <v>1011300</v>
      </c>
    </row>
    <row r="15" spans="1:15" x14ac:dyDescent="0.25">
      <c r="A15" s="35" t="s">
        <v>253</v>
      </c>
      <c r="B15" s="41">
        <v>695000</v>
      </c>
      <c r="D15" s="43" t="s">
        <v>7</v>
      </c>
      <c r="E15" s="56">
        <v>26500</v>
      </c>
    </row>
    <row r="16" spans="1:15" x14ac:dyDescent="0.25">
      <c r="A16" s="39" t="s">
        <v>297</v>
      </c>
      <c r="B16" s="44">
        <v>7871000</v>
      </c>
      <c r="D16" s="42" t="s">
        <v>297</v>
      </c>
      <c r="E16" s="57">
        <v>779000</v>
      </c>
    </row>
  </sheetData>
  <mergeCells count="4">
    <mergeCell ref="A2:B2"/>
    <mergeCell ref="D2:E2"/>
    <mergeCell ref="G2:I2"/>
    <mergeCell ref="A1:I1"/>
  </mergeCells>
  <pageMargins left="0.7" right="0.7" top="0.75" bottom="0.75" header="0.3" footer="0.3"/>
  <pageSetup paperSize="9"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EAA7EE546F0425488442B54B9F06CEE2" ma:contentTypeVersion="11" ma:contentTypeDescription="Create a new document." ma:contentTypeScope="" ma:versionID="d8eb1f58bdd3ebf274570d4c205b7dc2">
  <xsd:schema xmlns:xsd="http://www.w3.org/2001/XMLSchema" xmlns:xs="http://www.w3.org/2001/XMLSchema" xmlns:p="http://schemas.microsoft.com/office/2006/metadata/properties" xmlns:ns3="393b0566-866f-4f50-bd04-ab195aa7ff23" targetNamespace="http://schemas.microsoft.com/office/2006/metadata/properties" ma:root="true" ma:fieldsID="7c97e69803bbe4bd89170c18f6b1b73f" ns3:_="">
    <xsd:import namespace="393b0566-866f-4f50-bd04-ab195aa7ff2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Location" minOccurs="0"/>
                <xsd:element ref="ns3:MediaServiceGenerationTime" minOccurs="0"/>
                <xsd:element ref="ns3:MediaServiceEventHashCode" minOccurs="0"/>
                <xsd:element ref="ns3:MediaLengthInSeconds" minOccurs="0"/>
                <xsd:element ref="ns3:MediaServiceOCR"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3b0566-866f-4f50-bd04-ab195aa7ff2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activity xmlns="393b0566-866f-4f50-bd04-ab195aa7ff23" xsi:nil="true"/>
  </documentManagement>
</p:properties>
</file>

<file path=customXml/itemProps1.xml><?xml version="1.0" encoding="utf-8"?>
<ds:datastoreItem xmlns:ds="http://schemas.openxmlformats.org/officeDocument/2006/customXml" ds:itemID="{4E159207-CD8F-40AE-A5CE-CB397E690679}">
  <ds:schemaRefs>
    <ds:schemaRef ds:uri="http://schemas.microsoft.com/sharepoint/v3/contenttype/forms"/>
  </ds:schemaRefs>
</ds:datastoreItem>
</file>

<file path=customXml/itemProps2.xml><?xml version="1.0" encoding="utf-8"?>
<ds:datastoreItem xmlns:ds="http://schemas.openxmlformats.org/officeDocument/2006/customXml" ds:itemID="{5F8651DC-5ECC-42F3-B687-279E5762502D}">
  <ds:schemaRefs>
    <ds:schemaRef ds:uri="http://schemas.microsoft.com/DataMashup"/>
  </ds:schemaRefs>
</ds:datastoreItem>
</file>

<file path=customXml/itemProps3.xml><?xml version="1.0" encoding="utf-8"?>
<ds:datastoreItem xmlns:ds="http://schemas.openxmlformats.org/officeDocument/2006/customXml" ds:itemID="{24B0C80C-669E-41C4-A6FA-9098C276A2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3b0566-866f-4f50-bd04-ab195aa7ff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4D3A5FC-1EEE-4137-B32B-9ECE8F97401E}">
  <ds:schemaRefs>
    <ds:schemaRef ds:uri="http://schemas.openxmlformats.org/package/2006/metadata/core-properties"/>
    <ds:schemaRef ds:uri="http://schemas.microsoft.com/office/2006/metadata/properties"/>
    <ds:schemaRef ds:uri="http://www.w3.org/XML/1998/namespace"/>
    <ds:schemaRef ds:uri="393b0566-866f-4f50-bd04-ab195aa7ff23"/>
    <ds:schemaRef ds:uri="http://purl.org/dc/dcmitype/"/>
    <ds:schemaRef ds:uri="http://purl.org/dc/elements/1.1/"/>
    <ds:schemaRef ds:uri="http://schemas.microsoft.com/office/2006/documentManagement/typ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Welcome Page</vt:lpstr>
      <vt:lpstr>Raw Data</vt:lpstr>
      <vt:lpstr>Cleaning Tasks</vt:lpstr>
      <vt:lpstr>Cleaned Data</vt:lpstr>
      <vt:lpstr>Income Sheet</vt:lpstr>
      <vt:lpstr>Income Pivot Table</vt:lpstr>
      <vt:lpstr>Expense Sheet</vt:lpstr>
      <vt:lpstr>Expense Pivot Table</vt:lpstr>
      <vt:lpstr>Budget Sheet</vt:lpstr>
      <vt:lpstr>Budget Pivot Table</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Administrator</cp:lastModifiedBy>
  <cp:lastPrinted>2026-05-18T16:26:38Z</cp:lastPrinted>
  <dcterms:created xsi:type="dcterms:W3CDTF">2026-05-18T05:46:23Z</dcterms:created>
  <dcterms:modified xsi:type="dcterms:W3CDTF">2026-05-19T14:09:40Z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0x010100EAA7EE546F0425488442B54B9F06CEE2</vt:lpwstr>
  </property>
</Properties>
</file>